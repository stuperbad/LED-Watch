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EDs" sheetId="2" state="visible" r:id="rId2"/>
    <sheet name="Sensors" sheetId="3" state="visible" r:id="rId3"/>
    <sheet name="MCUs" sheetId="4" state="visible" r:id="rId4"/>
    <sheet name="Batteries" sheetId="5" state="visible" r:id="rId5"/>
    <sheet name="Battery options" sheetId="6" state="visible" r:id="rId6"/>
    <sheet name="Solar" sheetId="7" state="visible" r:id="rId7"/>
    <sheet name="Parts" sheetId="8" state="visible" r:id="rId8"/>
    <sheet name="Board size" sheetId="9" state="visible" r:id="rId9"/>
    <sheet name="Layout fit" sheetId="10" state="visible" r:id="rId10"/>
    <sheet name="Wear and stack" sheetId="11" state="visible" r:id="rId11"/>
    <sheet name="Shortcomings" sheetId="12" state="visible" r:id="rId12"/>
    <sheet name="Power budget" sheetId="13" state="visible" r:id="rId13"/>
    <sheet name="Every LED" sheetId="14" state="visible" r:id="rId14"/>
    <sheet name="LED types" sheetId="15" state="visible" r:id="rId15"/>
    <sheet name="Lists" sheetId="16" state="visible" r:id="rId16"/>
    <sheet name="Notes" sheetId="17" state="visible" r:id="rId17"/>
    <sheet name="Links" sheetId="18" state="visible" r:id="rId18"/>
  </sheets>
  <definedNames/>
  <calcPr calcId="124519" fullCalcOnLoad="1"/>
</workbook>
</file>

<file path=xl/styles.xml><?xml version="1.0" encoding="utf-8"?>
<styleSheet xmlns="http://schemas.openxmlformats.org/spreadsheetml/2006/main">
  <numFmts count="9">
    <numFmt numFmtId="164" formatCode="0.0"/>
    <numFmt numFmtId="165" formatCode="0.0%"/>
    <numFmt numFmtId="166" formatCode="0.000"/>
    <numFmt numFmtId="167" formatCode="0.00000"/>
    <numFmt numFmtId="168" formatCode="0.0000"/>
    <numFmt numFmtId="169" formatCode="$0.0000"/>
    <numFmt numFmtId="170" formatCode="$#,##0.00"/>
    <numFmt numFmtId="171" formatCode="$0.00"/>
    <numFmt numFmtId="172" formatCode="$0.000"/>
  </numFmts>
  <fonts count="14">
    <font>
      <name val="Calibri"/>
      <family val="2"/>
      <color theme="1"/>
      <sz val="11"/>
      <scheme val="minor"/>
    </font>
    <font>
      <name val="Arial"/>
      <b val="1"/>
      <sz val="14"/>
    </font>
    <font>
      <name val="Arial"/>
      <i val="1"/>
      <color rgb="00555555"/>
      <sz val="9"/>
    </font>
    <font>
      <name val="Arial"/>
      <b val="1"/>
      <sz val="10"/>
    </font>
    <font>
      <name val="Arial"/>
      <sz val="10"/>
    </font>
    <font>
      <name val="Arial"/>
      <color rgb="000000FF"/>
      <sz val="10"/>
    </font>
    <font>
      <name val="Arial"/>
      <b val="1"/>
      <color rgb="00FFFFFF"/>
      <sz val="10"/>
    </font>
    <font>
      <name val="Arial"/>
      <color rgb="00008000"/>
      <sz val="10"/>
    </font>
    <font>
      <name val="Arial"/>
      <color rgb="000563C1"/>
      <sz val="10"/>
      <u val="single"/>
    </font>
    <font>
      <name val="Arial"/>
      <color rgb="009C0006"/>
      <sz val="10"/>
    </font>
    <font>
      <name val="Arial"/>
      <i val="1"/>
      <color rgb="00555555"/>
      <sz val="10"/>
    </font>
    <font>
      <name val="Arial"/>
      <b val="1"/>
      <color rgb="009C5700"/>
      <sz val="10"/>
    </font>
    <font>
      <name val="Arial"/>
      <b val="1"/>
      <color rgb="009C0006"/>
      <sz val="10"/>
    </font>
    <font>
      <name val="Arial"/>
      <b val="1"/>
      <color rgb="00006100"/>
      <sz val="10"/>
    </font>
  </fonts>
  <fills count="6">
    <fill>
      <patternFill/>
    </fill>
    <fill>
      <patternFill patternType="gray125"/>
    </fill>
    <fill>
      <patternFill patternType="solid">
        <fgColor rgb="00D9E2F3"/>
      </patternFill>
    </fill>
    <fill>
      <patternFill patternType="solid">
        <fgColor rgb="00FFFF00"/>
      </patternFill>
    </fill>
    <fill>
      <patternFill patternType="solid">
        <fgColor rgb="00E2EFDA"/>
      </patternFill>
    </fill>
    <fill>
      <patternFill patternType="solid">
        <fgColor rgb="001F3864"/>
      </patternFill>
    </fill>
  </fills>
  <borders count="3">
    <border>
      <left/>
      <right/>
      <top/>
      <bottom/>
      <diagonal/>
    </border>
    <border>
      <left style="thin">
        <color rgb="00BBBBBB"/>
      </left>
      <right style="thin">
        <color rgb="00BBBBBB"/>
      </right>
      <top style="thin">
        <color rgb="00BBBBBB"/>
      </top>
      <bottom style="thin">
        <color rgb="00BBBBBB"/>
      </bottom>
    </border>
    <border/>
  </borders>
  <cellStyleXfs count="1">
    <xf numFmtId="0" fontId="0" fillId="0" borderId="0"/>
  </cellStyleXfs>
  <cellXfs count="70">
    <xf numFmtId="0" fontId="0" fillId="0" borderId="0" pivotButton="0" quotePrefix="0" xfId="0"/>
    <xf numFmtId="0" fontId="1" fillId="0" borderId="0" pivotButton="0" quotePrefix="0" xfId="0"/>
    <xf numFmtId="0" fontId="4" fillId="0" borderId="0" pivotButton="0" quotePrefix="0" xfId="0"/>
    <xf numFmtId="0" fontId="2" fillId="0" borderId="0" applyAlignment="1" pivotButton="0" quotePrefix="0" xfId="0">
      <alignment vertical="top" wrapText="1"/>
    </xf>
    <xf numFmtId="0" fontId="3" fillId="2" borderId="0" pivotButton="0" quotePrefix="0" xfId="0"/>
    <xf numFmtId="0" fontId="4" fillId="2" borderId="0" pivotButton="0" quotePrefix="0" xfId="0"/>
    <xf numFmtId="2" fontId="5" fillId="3" borderId="1" pivotButton="0" quotePrefix="0" xfId="0"/>
    <xf numFmtId="0" fontId="2" fillId="0" borderId="0" pivotButton="0" quotePrefix="0" xfId="0"/>
    <xf numFmtId="1" fontId="7" fillId="0" borderId="2" pivotButton="0" quotePrefix="0" xfId="0"/>
    <xf numFmtId="164" fontId="4" fillId="4" borderId="0" pivotButton="0" quotePrefix="0" xfId="0"/>
    <xf numFmtId="165" fontId="5" fillId="3" borderId="1" pivotButton="0" quotePrefix="0" xfId="0"/>
    <xf numFmtId="1" fontId="5" fillId="3" borderId="1" pivotButton="0" quotePrefix="0" xfId="0"/>
    <xf numFmtId="9" fontId="5" fillId="3" borderId="1" pivotButton="0" quotePrefix="0" xfId="0"/>
    <xf numFmtId="164" fontId="5" fillId="3" borderId="1" pivotButton="0" quotePrefix="0" xfId="0"/>
    <xf numFmtId="0" fontId="5" fillId="3" borderId="1" pivotButton="0" quotePrefix="0" xfId="0"/>
    <xf numFmtId="0" fontId="0" fillId="2" borderId="0" pivotButton="0" quotePrefix="0" xfId="0"/>
    <xf numFmtId="0" fontId="5" fillId="3" borderId="1" applyAlignment="1" pivotButton="0" quotePrefix="0" xfId="0">
      <alignment vertical="top" wrapText="1"/>
    </xf>
    <xf numFmtId="0" fontId="6" fillId="5" borderId="1" applyAlignment="1" pivotButton="0" quotePrefix="0" xfId="0">
      <alignment horizontal="center" vertical="center" wrapText="1"/>
    </xf>
    <xf numFmtId="0" fontId="3" fillId="2" borderId="0" applyAlignment="1" pivotButton="0" quotePrefix="0" xfId="0">
      <alignment vertical="top" wrapText="1"/>
    </xf>
    <xf numFmtId="0" fontId="4" fillId="0" borderId="0" applyAlignment="1" pivotButton="0" quotePrefix="0" xfId="0">
      <alignment vertical="top" wrapText="1"/>
    </xf>
    <xf numFmtId="2" fontId="5" fillId="3" borderId="1" applyAlignment="1" pivotButton="0" quotePrefix="0" xfId="0">
      <alignment vertical="top"/>
    </xf>
    <xf numFmtId="0" fontId="4" fillId="0" borderId="0" applyAlignment="1" pivotButton="0" quotePrefix="0" xfId="0">
      <alignment vertical="top"/>
    </xf>
    <xf numFmtId="1" fontId="5" fillId="3" borderId="1" applyAlignment="1" pivotButton="0" quotePrefix="0" xfId="0">
      <alignment vertical="top"/>
    </xf>
    <xf numFmtId="1" fontId="4" fillId="0" borderId="0" applyAlignment="1" pivotButton="0" quotePrefix="0" xfId="0">
      <alignment vertical="top"/>
    </xf>
    <xf numFmtId="3" fontId="4" fillId="0" borderId="0" applyAlignment="1" pivotButton="0" quotePrefix="0" xfId="0">
      <alignment vertical="top"/>
    </xf>
    <xf numFmtId="169" fontId="4" fillId="0" borderId="0" applyAlignment="1" pivotButton="0" quotePrefix="0" xfId="0">
      <alignment vertical="top"/>
    </xf>
    <xf numFmtId="170" fontId="4" fillId="0" borderId="0" pivotButton="0" quotePrefix="0" xfId="0"/>
    <xf numFmtId="0" fontId="8" fillId="0" borderId="0" applyAlignment="1" pivotButton="0" quotePrefix="0" xfId="0">
      <alignment vertical="top"/>
    </xf>
    <xf numFmtId="2" fontId="4"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2" fontId="4" fillId="0" borderId="0" applyAlignment="1" pivotButton="0" quotePrefix="0" xfId="0">
      <alignment vertical="top"/>
    </xf>
    <xf numFmtId="171" fontId="4" fillId="0" borderId="0" applyAlignment="1" pivotButton="0" quotePrefix="0" xfId="0">
      <alignment vertical="top"/>
    </xf>
    <xf numFmtId="0" fontId="3" fillId="0" borderId="0" applyAlignment="1" pivotButton="0" quotePrefix="0" xfId="0">
      <alignment vertical="top" wrapText="1"/>
    </xf>
    <xf numFmtId="1" fontId="4" fillId="0" borderId="0" applyAlignment="1" pivotButton="0" quotePrefix="0" xfId="0">
      <alignment vertical="top" wrapText="1"/>
    </xf>
    <xf numFmtId="1" fontId="4" fillId="4" borderId="0" applyAlignment="1" pivotButton="0" quotePrefix="0" xfId="0">
      <alignment vertical="top" wrapText="1"/>
    </xf>
    <xf numFmtId="0" fontId="3" fillId="0" borderId="0" pivotButton="0" quotePrefix="0" xfId="0"/>
    <xf numFmtId="164" fontId="4" fillId="0" borderId="0" pivotButton="0" quotePrefix="0" xfId="0"/>
    <xf numFmtId="1" fontId="7" fillId="0" borderId="0" pivotButton="0" quotePrefix="0" xfId="0"/>
    <xf numFmtId="1" fontId="4" fillId="4" borderId="0" pivotButton="0" quotePrefix="0" xfId="0"/>
    <xf numFmtId="0" fontId="4" fillId="4" borderId="0" pivotButton="0" quotePrefix="0" xfId="0"/>
    <xf numFmtId="164" fontId="5" fillId="3" borderId="1" applyAlignment="1" pivotButton="0" quotePrefix="0" xfId="0">
      <alignment vertical="top"/>
    </xf>
    <xf numFmtId="1" fontId="4" fillId="0" borderId="0" pivotButton="0" quotePrefix="0" xfId="0"/>
    <xf numFmtId="172" fontId="4" fillId="0" borderId="0" pivotButton="0" quotePrefix="0" xfId="0"/>
    <xf numFmtId="171" fontId="4" fillId="0" borderId="0" applyAlignment="1" pivotButton="0" quotePrefix="0" xfId="0">
      <alignment vertical="top" wrapText="1"/>
    </xf>
    <xf numFmtId="3" fontId="5" fillId="3" borderId="1" pivotButton="0" quotePrefix="0" xfId="0"/>
    <xf numFmtId="168" fontId="4" fillId="0" borderId="0" pivotButton="0" quotePrefix="0" xfId="0"/>
    <xf numFmtId="167" fontId="4" fillId="0" borderId="0" pivotButton="0" quotePrefix="0" xfId="0"/>
    <xf numFmtId="166" fontId="5" fillId="3" borderId="1" pivotButton="0" quotePrefix="0" xfId="0"/>
    <xf numFmtId="3" fontId="4" fillId="0" borderId="0" pivotButton="0" quotePrefix="0" xfId="0"/>
    <xf numFmtId="2" fontId="5" fillId="3" borderId="1" applyAlignment="1" pivotButton="0" quotePrefix="0" xfId="0">
      <alignment vertical="top"/>
    </xf>
    <xf numFmtId="2" fontId="4" fillId="4" borderId="0" pivotButton="0" quotePrefix="0" xfId="0"/>
    <xf numFmtId="169" fontId="4" fillId="0" borderId="0" pivotButton="0" quotePrefix="0" xfId="0"/>
    <xf numFmtId="171" fontId="4" fillId="4" borderId="0" pivotButton="0" quotePrefix="0" xfId="0"/>
    <xf numFmtId="171" fontId="4" fillId="0" borderId="0" pivotButton="0" quotePrefix="0" xfId="0"/>
    <xf numFmtId="171" fontId="3" fillId="4" borderId="0" pivotButton="0" quotePrefix="0" xfId="0"/>
    <xf numFmtId="0" fontId="7" fillId="0" borderId="0" applyAlignment="1" pivotButton="0" quotePrefix="0" xfId="0">
      <alignment vertical="top" wrapText="1"/>
    </xf>
    <xf numFmtId="0" fontId="7" fillId="0" borderId="0" pivotButton="0" quotePrefix="0" xfId="0"/>
    <xf numFmtId="164" fontId="3" fillId="4" borderId="0" pivotButton="0" quotePrefix="0" xfId="0"/>
    <xf numFmtId="2" fontId="7" fillId="0" borderId="0" pivotButton="0" quotePrefix="0" xfId="0"/>
    <xf numFmtId="164" fontId="7" fillId="0" borderId="0" pivotButton="0" quotePrefix="0" xfId="0"/>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166" fontId="4" fillId="0" borderId="0" pivotButton="0" quotePrefix="0" xfId="0"/>
    <xf numFmtId="166" fontId="4" fillId="4" borderId="0" pivotButton="0" quotePrefix="0" xfId="0"/>
    <xf numFmtId="9" fontId="4" fillId="0" borderId="0" pivotButton="0" quotePrefix="0" xfId="0"/>
    <xf numFmtId="0" fontId="7" fillId="0" borderId="2" pivotButton="0" quotePrefix="0" xfId="0"/>
    <xf numFmtId="2" fontId="7" fillId="0" borderId="2" pivotButton="0" quotePrefix="0" xfId="0"/>
    <xf numFmtId="9"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t>Battery life vs PWM duty (no solar)</a:t>
            </a:r>
          </a:p>
        </rich>
      </tx>
    </title>
    <plotArea>
      <lineChart>
        <grouping val="standard"/>
        <ser>
          <idx val="0"/>
          <order val="0"/>
          <tx>
            <strRef>
              <f>'Power budget'!E36</f>
            </strRef>
          </tx>
          <spPr>
            <a:ln>
              <a:prstDash val="solid"/>
            </a:ln>
          </spPr>
          <marker>
            <symbol val="none"/>
            <spPr>
              <a:ln>
                <a:prstDash val="solid"/>
              </a:ln>
            </spPr>
          </marker>
          <cat>
            <numRef>
              <f>'Power budget'!$A$37:$A$43</f>
            </numRef>
          </cat>
          <val>
            <numRef>
              <f>'Power budget'!$E$37:$E$43</f>
            </numRef>
          </val>
        </ser>
        <axId val="10"/>
        <axId val="100"/>
      </lineChart>
      <catAx>
        <axId val="10"/>
        <scaling>
          <orientation val="minMax"/>
        </scaling>
        <axPos val="l"/>
        <title>
          <tx>
            <rich>
              <a:bodyPr/>
              <a:p>
                <a:pPr>
                  <a:defRPr/>
                </a:pPr>
                <a:r>
                  <a:t>PWM duty</a:t>
                </a:r>
              </a:p>
            </rich>
          </tx>
        </title>
        <majorTickMark val="none"/>
        <minorTickMark val="none"/>
        <crossAx val="100"/>
        <lblOffset val="100"/>
      </catAx>
      <valAx>
        <axId val="100"/>
        <scaling>
          <orientation val="minMax"/>
        </scaling>
        <axPos val="l"/>
        <majorGridlines/>
        <title>
          <tx>
            <rich>
              <a:bodyPr/>
              <a:p>
                <a:pPr>
                  <a:defRPr/>
                </a:pPr>
                <a:r>
                  <a:t>days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Daily energy by consumer (mWh)</a:t>
            </a:r>
          </a:p>
        </rich>
      </tx>
    </title>
    <plotArea>
      <barChart>
        <barDir val="col"/>
        <grouping val="clustered"/>
        <ser>
          <idx val="0"/>
          <order val="0"/>
          <spPr>
            <a:ln>
              <a:prstDash val="solid"/>
            </a:ln>
          </spPr>
          <cat>
            <numRef>
              <f>'Power budget'!$A$47:$A$51</f>
            </numRef>
          </cat>
          <val>
            <numRef>
              <f>'Power budget'!$B$47:$B$51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19</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igikey.com/en/products/detail/xinglight/XL-0201UWC/25672884" TargetMode="External" Id="rId1" /><Relationship Type="http://schemas.openxmlformats.org/officeDocument/2006/relationships/hyperlink" Target="https://www.digikey.com/en/products/detail/xinglight/XL-1005UWC/25672941" TargetMode="External" Id="rId2" /><Relationship Type="http://schemas.openxmlformats.org/officeDocument/2006/relationships/hyperlink" Target="https://www.digikey.com/en/products/detail/dialight/5973904507F/9385438" TargetMode="External" Id="rId3" /><Relationship Type="http://schemas.openxmlformats.org/officeDocument/2006/relationships/hyperlink" Target="https://www.digikey.com/en/products/detail/liteon/LTW-170TK/758704" TargetMode="External" Id="rId4" /><Relationship Type="http://schemas.openxmlformats.org/officeDocument/2006/relationships/hyperlink" Target="https://www.digikey.com/en/products/detail/harvatek-corporation/B39D3RGB-F6C0001HOU1930/13588747" TargetMode="External" Id="rId5" /><Relationship Type="http://schemas.openxmlformats.org/officeDocument/2006/relationships/hyperlink" Target="https://jlcpcb.com/partdetail/C965789" TargetMode="External" Id="rId6" /><Relationship Type="http://schemas.openxmlformats.org/officeDocument/2006/relationships/hyperlink" Target="https://jlcpcb.com/partdetail/C20613596" TargetMode="External" Id="rId7" /><Relationship Type="http://schemas.openxmlformats.org/officeDocument/2006/relationships/hyperlink" Target="https://jlcpcb.com/partdetail/C2290" TargetMode="External" Id="rId8" /><Relationship Type="http://schemas.openxmlformats.org/officeDocument/2006/relationships/hyperlink" Target="https://jlcpcb.com/partdetail/C34499" TargetMode="External" Id="rId9" /><Relationship Type="http://schemas.openxmlformats.org/officeDocument/2006/relationships/hyperlink" Target="https://jlcpcb.com/partdetail/C6509069" TargetMode="External" Id="rId10" /><Relationship Type="http://schemas.openxmlformats.org/officeDocument/2006/relationships/hyperlink" Target="https://jlcpcb.com/partdetail/C404279" TargetMode="External" Id="rId11" /><Relationship Type="http://schemas.openxmlformats.org/officeDocument/2006/relationships/hyperlink" Target="https://datasheet.lcsc.com/lcsc/2012301032_XINGLIGHT-XL-0201UWC_C965789.pdf" TargetMode="External" Id="rId12" /><Relationship Type="http://schemas.openxmlformats.org/officeDocument/2006/relationships/hyperlink" Target="https://jlcpcb.com/partdetail/C20613596" TargetMode="External" Id="rId13" /><Relationship Type="http://schemas.openxmlformats.org/officeDocument/2006/relationships/hyperlink" Target="https://jlcpcb.com/partdetail/C2290" TargetMode="External" Id="rId14" /><Relationship Type="http://schemas.openxmlformats.org/officeDocument/2006/relationships/hyperlink" Target="https://s3-us-west-2.amazonaws.com/catsy.557/C18367A.pdf" TargetMode="External" Id="rId15" /><Relationship Type="http://schemas.openxmlformats.org/officeDocument/2006/relationships/hyperlink" Target="https://jlcpcb.com/partdetail/C34499" TargetMode="External" Id="rId16" /><Relationship Type="http://schemas.openxmlformats.org/officeDocument/2006/relationships/hyperlink" Target="https://optoelectronics.liteon.com/upload/download/DS22-2004-078/LTW-170TK.pdf" TargetMode="External" Id="rId17" /><Relationship Type="http://schemas.openxmlformats.org/officeDocument/2006/relationships/hyperlink" Target="https://www.digikey.com/en/products/detail/harvatek-corporation/B39D3RGB-F6C0001HOU1930/13588747" TargetMode="External" Id="rId18" /><Relationship Type="http://schemas.openxmlformats.org/officeDocument/2006/relationships/hyperlink" Target="https://datasheet.lcsc.com/datasheet/pdf/1674e4a9e1dec82609abb7eb7f417a05.pdf?productCode=C404279" TargetMode="External" Id="rId19" /></Relationships>
</file>

<file path=xl/worksheets/_rels/sheet3.xml.rels><Relationships xmlns="http://schemas.openxmlformats.org/package/2006/relationships"><Relationship Type="http://schemas.openxmlformats.org/officeDocument/2006/relationships/hyperlink" Target="https://www.digikey.com/en/products/detail/bosch-sensortec/BMI270/9974486" TargetMode="External" Id="rId1" /><Relationship Type="http://schemas.openxmlformats.org/officeDocument/2006/relationships/hyperlink" Target="https://www.digikey.com/en/products/detail/bosch-sensortec/BMA400/8634935" TargetMode="External" Id="rId2" /><Relationship Type="http://schemas.openxmlformats.org/officeDocument/2006/relationships/hyperlink" Target="https://www.digikey.com/en/products/detail/stmicroelectronics/LIS2DW12TR/7914708" TargetMode="External" Id="rId3" /><Relationship Type="http://schemas.openxmlformats.org/officeDocument/2006/relationships/hyperlink" Target="https://jlcpcb.com/partdetail/C2836813" TargetMode="External" Id="rId4" /><Relationship Type="http://schemas.openxmlformats.org/officeDocument/2006/relationships/hyperlink" Target="https://jlcpcb.com/partdetail/C189624" TargetMode="External" Id="rId5" /><Relationship Type="http://schemas.openxmlformats.org/officeDocument/2006/relationships/hyperlink" Target="https://www.bosch-sensortec.com/media/boschsensortec/downloads/datasheets/bst-bmi270-ds000.pdf" TargetMode="External" Id="rId6" /><Relationship Type="http://schemas.openxmlformats.org/officeDocument/2006/relationships/hyperlink" Target="https://www.bosch-sensortec.com/media/boschsensortec/downloads/datasheets/bst-bma400-ds000.pdf" TargetMode="External" Id="rId7" /><Relationship Type="http://schemas.openxmlformats.org/officeDocument/2006/relationships/hyperlink" Target="https://www.digikey.com/en/products/detail/stmicroelectronics/LIS2DW12TR/7914708" TargetMode="External" Id="rId8" /></Relationships>
</file>

<file path=xl/worksheets/_rels/sheet5.xml.rels><Relationships xmlns="http://schemas.openxmlformats.org/package/2006/relationships"><Relationship Type="http://schemas.openxmlformats.org/officeDocument/2006/relationships/hyperlink" Target="https://www.mouser.com/ProductDetail/614-ICP341018PM" TargetMode="External" Id="rId1" /><Relationship Type="http://schemas.openxmlformats.org/officeDocument/2006/relationships/hyperlink" Target="https://www.mouser.com/ProductDetail/614-ICP331319PM" TargetMode="External" Id="rId2" /><Relationship Type="http://schemas.openxmlformats.org/officeDocument/2006/relationships/hyperlink" Target="https://www.mouser.com/ProductDetail/614-ICP501022UPM" TargetMode="External" Id="rId3" /><Relationship Type="http://schemas.openxmlformats.org/officeDocument/2006/relationships/hyperlink" Target="https://www.mouser.com/ProductDetail/614-ICP402025PC-01" TargetMode="External" Id="rId4" /><Relationship Type="http://schemas.openxmlformats.org/officeDocument/2006/relationships/hyperlink" Target="https://asset.conrad.com/media10/add/160267/c1/-/en/001214022DS01/podatkovna-tablica-1214022-renata-icp341018pm-specijalni-akumulatori-prizmaticni-kabel-lipo-37-v-35-mah.pdf" TargetMode="External" Id="rId5" /><Relationship Type="http://schemas.openxmlformats.org/officeDocument/2006/relationships/hyperlink" Target="https://asset.conrad.com/media10/add/160267/c1/-/gl/003015326DS00/tehnicni-podatki-3015326-renata-icp331319pm-specialni-akumulatorji-prismaticno-kabel-lipo-37-v-50-mah.pdf" TargetMode="External" Id="rId6" /><Relationship Type="http://schemas.openxmlformats.org/officeDocument/2006/relationships/hyperlink" Target="https://www.renata.com/fileadmin/downloads/productsheets/lithium_polymer/ICP501022UPM.pdf" TargetMode="External" Id="rId7" /><Relationship Type="http://schemas.openxmlformats.org/officeDocument/2006/relationships/hyperlink" Target="https://www.renata.com/fileadmin/downloads/productsheets/lithium_polymer/ICP402025PC-01.pdf" TargetMode="External" Id="rId8" /></Relationships>
</file>

<file path=xl/worksheets/_rels/sheet7.xml.rels><Relationships xmlns="http://schemas.openxmlformats.org/package/2006/relationships"><Relationship Type="http://schemas.openxmlformats.org/officeDocument/2006/relationships/hyperlink" Target="https://www.digikey.com/en/products/detail/panasonic-energy/AM-1606C/25903138" TargetMode="External" Id="rId1" /><Relationship Type="http://schemas.openxmlformats.org/officeDocument/2006/relationships/hyperlink" Target="https://anysolar.biz/wp-content/uploads/2026/09/KXOB25-07X1TF-DATASHEET.pdf" TargetMode="External" Id="rId2" /><Relationship Type="http://schemas.openxmlformats.org/officeDocument/2006/relationships/hyperlink" Target="https://www.digikey.com/en/products/detail/anysolar-ltd/KXOB081K06TF-TR/13999165" TargetMode="External" Id="rId3" /></Relationships>
</file>

<file path=xl/worksheets/_rels/sheet8.xml.rels><Relationships xmlns="http://schemas.openxmlformats.org/package/2006/relationships"><Relationship Type="http://schemas.openxmlformats.org/officeDocument/2006/relationships/hyperlink" Target="https://www.digikey.com/en/products/detail/microchip-technology/AVR128DB48-I-PT/12807288" TargetMode="External" Id="rId1" /><Relationship Type="http://schemas.openxmlformats.org/officeDocument/2006/relationships/hyperlink" Target="https://jlcpcb.com/partdetail/C1019766" TargetMode="External" Id="rId2" /><Relationship Type="http://schemas.openxmlformats.org/officeDocument/2006/relationships/hyperlink" Target="https://www.digikey.com/en/products/detail/bosch-sensortec/BMI270/9974486" TargetMode="External" Id="rId3" /><Relationship Type="http://schemas.openxmlformats.org/officeDocument/2006/relationships/hyperlink" Target="https://jlcpcb.com/partdetail/C2836813" TargetMode="External" Id="rId4" /><Relationship Type="http://schemas.openxmlformats.org/officeDocument/2006/relationships/hyperlink" Target="https://www.digikey.com/en/products/detail/bosch-sensortec/BMA400/8634935" TargetMode="External" Id="rId5" /><Relationship Type="http://schemas.openxmlformats.org/officeDocument/2006/relationships/hyperlink" Target="https://www.digikey.com/en/products/detail/stmicroelectronics/LIS2DW12TR/7914708" TargetMode="External" Id="rId6" /><Relationship Type="http://schemas.openxmlformats.org/officeDocument/2006/relationships/hyperlink" Target="https://jlcpcb.com/partdetail/C189624" TargetMode="External" Id="rId7" /><Relationship Type="http://schemas.openxmlformats.org/officeDocument/2006/relationships/hyperlink" Target="https://www.digikey.com/en/products/detail/microchip-technology/MCP73831T-2ACI-OT/964301" TargetMode="External" Id="rId8" /><Relationship Type="http://schemas.openxmlformats.org/officeDocument/2006/relationships/hyperlink" Target="https://jlcpcb.com/partdetail/C424093" TargetMode="External" Id="rId9" /><Relationship Type="http://schemas.openxmlformats.org/officeDocument/2006/relationships/hyperlink" Target="https://www.digikey.com/en/products/detail/microchip-technology/MCP1700T-3302E-TT/652676" TargetMode="External" Id="rId10" /><Relationship Type="http://schemas.openxmlformats.org/officeDocument/2006/relationships/hyperlink" Target="https://www.lcsc.com/product-image/C39051.html" TargetMode="External" Id="rId11" /><Relationship Type="http://schemas.openxmlformats.org/officeDocument/2006/relationships/hyperlink" Target="https://www.digikey.com/en/products/detail/texas-instruments/BQ25570RGRR/4384228" TargetMode="External" Id="rId12" /><Relationship Type="http://schemas.openxmlformats.org/officeDocument/2006/relationships/hyperlink" Target="https://jlcpcb.com/partdetail/C506250" TargetMode="External" Id="rId13" /><Relationship Type="http://schemas.openxmlformats.org/officeDocument/2006/relationships/hyperlink" Target="https://www.digikey.com/en/products/detail/abracon-llc/ABS07-32-768KHZ-T/1236858" TargetMode="External" Id="rId14" /><Relationship Type="http://schemas.openxmlformats.org/officeDocument/2006/relationships/hyperlink" Target="https://jlcpcb.com/partdetail/C130253" TargetMode="External" Id="rId15" /><Relationship Type="http://schemas.openxmlformats.org/officeDocument/2006/relationships/hyperlink" Target="https://www.digikey.com/en/products/detail/jst-sales-america-inc/SM02B-SRSS-TB/926708" TargetMode="External" Id="rId16" /><Relationship Type="http://schemas.openxmlformats.org/officeDocument/2006/relationships/hyperlink" Target="https://jlcpcb.com/partdetail/C160402" TargetMode="External" Id="rId17" /><Relationship Type="http://schemas.openxmlformats.org/officeDocument/2006/relationships/hyperlink" Target="https://www.digikey.com/en/products/detail/same-sky-formerly-cui-devices/TS21-34-035-BK-260-SMT-TR/21186457" TargetMode="External" Id="rId18" /><Relationship Type="http://schemas.openxmlformats.org/officeDocument/2006/relationships/hyperlink" Target="https://www.digikey.com/en/products/detail/anysolar-ltd/KXOB081K06TF-TR/13999165" TargetMode="External" Id="rId19" /><Relationship Type="http://schemas.openxmlformats.org/officeDocument/2006/relationships/hyperlink" Target="https://www.mouser.com/new/renata/renata-icp-series/" TargetMode="External" Id="rId20" /></Relationships>
</file>

<file path=xl/worksheets/_rels/sheet1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54" customWidth="1" min="1" max="1"/>
    <col width="46" customWidth="1" min="2" max="2"/>
    <col width="10" customWidth="1" min="3" max="3"/>
    <col width="95" customWidth="1" min="4" max="4"/>
  </cols>
  <sheetData>
    <row r="1">
      <c r="A1" s="1" t="inlineStr">
        <is>
          <t>Watch Power Calculator - change the yellow cells (blue text)</t>
        </is>
      </c>
      <c r="B1" s="2" t="n"/>
      <c r="C1" s="2" t="n"/>
      <c r="D1" s="2" t="n"/>
    </row>
    <row r="2" ht="28" customHeight="1">
      <c r="A2" s="3" t="inlineStr">
        <is>
          <t>Yellow cells with blue text are inputs you can change. Every other number in this workbook is a formula and updates automatically. VERIFIED = from a datasheet; ESTIMATE = my assumption, so please change it if you know better.</t>
        </is>
      </c>
      <c r="B2" s="2" t="n"/>
      <c r="C2" s="2" t="n"/>
      <c r="D2" s="2" t="n"/>
    </row>
    <row r="3">
      <c r="A3" s="2" t="n"/>
      <c r="B3" s="2" t="n"/>
      <c r="C3" s="2" t="n"/>
      <c r="D3" s="2" t="n"/>
    </row>
    <row r="4">
      <c r="A4" s="4" t="inlineStr">
        <is>
          <t>1. Battery</t>
        </is>
      </c>
      <c r="B4" s="5" t="n"/>
      <c r="C4" s="5" t="n"/>
      <c r="D4" s="5" t="n"/>
    </row>
    <row r="5">
      <c r="A5" s="2" t="inlineStr">
        <is>
          <t>Battery nominal voltage</t>
        </is>
      </c>
      <c r="B5" s="6" t="n">
        <v>3.7</v>
      </c>
      <c r="C5" s="2" t="inlineStr">
        <is>
          <t>V</t>
        </is>
      </c>
      <c r="D5" s="7" t="inlineStr">
        <is>
          <t>LiPo nominal voltage (3.0-4.2 V in use). ESTIMATE of the average.</t>
        </is>
      </c>
    </row>
    <row r="6">
      <c r="A6" s="2" t="inlineStr">
        <is>
          <t>Battery capacity</t>
        </is>
      </c>
      <c r="B6" s="8">
        <f>INDEX(Batteries!$B$6:$E$6,MATCH(B59,Batteries!$B$4:$E$4,0))</f>
        <v/>
      </c>
      <c r="C6" s="2" t="inlineStr">
        <is>
          <t>mAh</t>
        </is>
      </c>
      <c r="D6" s="7" t="inlineStr">
        <is>
          <t>Comes from the battery you pick in row 59 (Batteries tab). To use a different cell, edit the capacity on the Batteries tab.</t>
        </is>
      </c>
    </row>
    <row r="7">
      <c r="A7" s="2" t="inlineStr">
        <is>
          <t>Battery energy</t>
        </is>
      </c>
      <c r="B7" s="9">
        <f>B5*B6</f>
        <v/>
      </c>
      <c r="C7" s="2" t="inlineStr">
        <is>
          <t>mWh</t>
        </is>
      </c>
      <c r="D7" s="7" t="inlineStr">
        <is>
          <t>Formula: voltage x capacity.</t>
        </is>
      </c>
    </row>
    <row r="8">
      <c r="A8" s="2" t="inlineStr">
        <is>
          <t>Battery self-discharge per month</t>
        </is>
      </c>
      <c r="B8" s="10" t="n">
        <v>0.02</v>
      </c>
      <c r="C8" s="2" t="inlineStr">
        <is>
          <t>fraction</t>
        </is>
      </c>
      <c r="D8" s="7" t="inlineStr">
        <is>
          <t>ESTIMATE: 2%/month (LiPo is typically 1-5%).</t>
        </is>
      </c>
    </row>
    <row r="9">
      <c r="A9" s="2" t="n"/>
      <c r="B9" s="2" t="n"/>
      <c r="C9" s="2" t="n"/>
      <c r="D9" s="2" t="n"/>
    </row>
    <row r="10">
      <c r="A10" s="4" t="inlineStr">
        <is>
          <t>2. White LED electrical (one series resistor value for all columns)</t>
        </is>
      </c>
      <c r="B10" s="5" t="n"/>
      <c r="C10" s="5" t="n"/>
      <c r="D10" s="5" t="n"/>
    </row>
    <row r="11">
      <c r="A11" s="2" t="inlineStr">
        <is>
          <t>Series resistor in each column</t>
        </is>
      </c>
      <c r="B11" s="11" t="n">
        <v>150</v>
      </c>
      <c r="C11" s="2" t="inlineStr">
        <is>
          <t>ohm</t>
        </is>
      </c>
      <c r="D11" s="7" t="inlineStr">
        <is>
          <t>PLACEHOLDER in the schematic (R1-R12 = 150 ohm). White LEDs need ~2.7+ V, so this value sets the brightness.</t>
        </is>
      </c>
    </row>
    <row r="12">
      <c r="A12" s="2" t="inlineStr">
        <is>
          <t>Voltage lost in the MCU pins (high-side + low-side)</t>
        </is>
      </c>
      <c r="B12" s="6" t="n">
        <v>0.5</v>
      </c>
      <c r="C12" s="2" t="inlineStr">
        <is>
          <t>V</t>
        </is>
      </c>
      <c r="D12" s="7" t="inlineStr">
        <is>
          <t>Worst case from the datasheets: AVR128DB sink 0.6 V at 10 mA and source 0.7 V at 6 mA, so about 0.2 V + 0.4 V = 0.6 V at 3-4 mA. Typical is lower; 0.5 V used. The old 0.3 V was optimistic.</t>
        </is>
      </c>
    </row>
    <row r="13">
      <c r="A13" s="2" t="inlineStr">
        <is>
          <t>OPTIONAL: force an LED on-current (leave blank to calculate)</t>
        </is>
      </c>
      <c r="B13" s="6" t="n"/>
      <c r="C13" s="2" t="inlineStr">
        <is>
          <t>mA</t>
        </is>
      </c>
      <c r="D13" s="7" t="inlineStr">
        <is>
          <t>If you type a number here it replaces the calculated on-current for every LED.</t>
        </is>
      </c>
    </row>
    <row r="14">
      <c r="A14" s="2" t="n"/>
      <c r="B14" s="2" t="n"/>
      <c r="C14" s="2" t="n"/>
      <c r="D14" s="7" t="inlineStr">
        <is>
          <t>On-current = (battery V - LED Vf - pin drop) / resistor. Vf per LED type is on the 'LED types' tab.</t>
        </is>
      </c>
    </row>
    <row r="15">
      <c r="A15" s="4" t="inlineStr">
        <is>
          <t>3. Multiplexing and PWM dimming</t>
        </is>
      </c>
      <c r="B15" s="5" t="n"/>
      <c r="C15" s="5" t="n"/>
      <c r="D15" s="5" t="n"/>
    </row>
    <row r="16">
      <c r="A16" s="2" t="inlineStr">
        <is>
          <t>Rows scanned in turn while the display is on</t>
        </is>
      </c>
      <c r="B16" s="11" t="n">
        <v>3</v>
      </c>
      <c r="C16" s="2" t="inlineStr">
        <is>
          <t>rows</t>
        </is>
      </c>
      <c r="D16" s="7" t="inlineStr">
        <is>
          <t>3 when you show an hour + a minute + a second LED (they are always in different rows). Each LED then gets 1/3 of the time.</t>
        </is>
      </c>
    </row>
    <row r="17">
      <c r="A17" s="2" t="inlineStr">
        <is>
          <t>PWM duty - Hour LED</t>
        </is>
      </c>
      <c r="B17" s="12" t="n">
        <v>0.2</v>
      </c>
      <c r="C17" s="2" t="inlineStr">
        <is>
          <t>of slot</t>
        </is>
      </c>
      <c r="D17" s="7" t="inlineStr">
        <is>
          <t>PWM duty = how much of its time slot the LED is actually on. 100% = full brightness for the slot, 20% = dim.</t>
        </is>
      </c>
    </row>
    <row r="18">
      <c r="A18" s="2" t="inlineStr">
        <is>
          <t>PWM duty - Minute LED</t>
        </is>
      </c>
      <c r="B18" s="12" t="n">
        <v>0.2</v>
      </c>
      <c r="C18" s="2" t="inlineStr">
        <is>
          <t>of slot</t>
        </is>
      </c>
      <c r="D18" s="7" t="inlineStr">
        <is>
          <t>Brightness and energy both follow the AVERAGE current, so halving the duty halves both.</t>
        </is>
      </c>
    </row>
    <row r="19">
      <c r="A19" s="2" t="inlineStr">
        <is>
          <t>PWM duty - Second LED</t>
        </is>
      </c>
      <c r="B19" s="12" t="n">
        <v>0.2</v>
      </c>
      <c r="C19" s="2" t="inlineStr">
        <is>
          <t>of slot</t>
        </is>
      </c>
      <c r="D19" s="7" t="inlineStr">
        <is>
          <t>Default 20% gives ~0.3 mA average per LED (dim but visible indoors).</t>
        </is>
      </c>
    </row>
    <row r="20">
      <c r="A20" s="2" t="n"/>
      <c r="B20" s="2" t="n"/>
      <c r="C20" s="2" t="n"/>
      <c r="D20" s="2" t="n"/>
    </row>
    <row r="21">
      <c r="A21" s="4" t="inlineStr">
        <is>
          <t>4. The time being shown, and how often</t>
        </is>
      </c>
      <c r="B21" s="5" t="n"/>
      <c r="C21" s="5" t="n"/>
      <c r="D21" s="5" t="n"/>
    </row>
    <row r="22">
      <c r="A22" s="2" t="inlineStr">
        <is>
          <t>Hour shown (1-12)</t>
        </is>
      </c>
      <c r="B22" s="11" t="n">
        <v>10</v>
      </c>
      <c r="C22" s="2" t="n"/>
      <c r="D22" s="7" t="inlineStr">
        <is>
          <t>These three pick which LEDs are lit on the 'Every LED' tab.</t>
        </is>
      </c>
    </row>
    <row r="23">
      <c r="A23" s="2" t="inlineStr">
        <is>
          <t>Minute shown (0-59)</t>
        </is>
      </c>
      <c r="B23" s="11" t="n">
        <v>8</v>
      </c>
      <c r="C23" s="2" t="n"/>
      <c r="D23" s="2" t="n"/>
    </row>
    <row r="24">
      <c r="A24" s="2" t="inlineStr">
        <is>
          <t>Second shown (0-59)</t>
        </is>
      </c>
      <c r="B24" s="11" t="n">
        <v>42</v>
      </c>
      <c r="C24" s="2" t="n"/>
      <c r="D24" s="2" t="n"/>
    </row>
    <row r="25">
      <c r="A25" s="2" t="inlineStr">
        <is>
          <t>Seconds the display stays on after each wake</t>
        </is>
      </c>
      <c r="B25" s="13" t="n">
        <v>3</v>
      </c>
      <c r="C25" s="2" t="inlineStr">
        <is>
          <t>s</t>
        </is>
      </c>
      <c r="D25" s="2" t="n"/>
    </row>
    <row r="26">
      <c r="A26" s="2" t="inlineStr">
        <is>
          <t>Wakes per day (gesture or button)</t>
        </is>
      </c>
      <c r="B26" s="11" t="n">
        <v>60</v>
      </c>
      <c r="C26" s="2" t="inlineStr">
        <is>
          <t>per day</t>
        </is>
      </c>
      <c r="D26" s="7" t="inlineStr">
        <is>
          <t>20 = rarely, 60 = a few times an hour, 200 = checking constantly.</t>
        </is>
      </c>
    </row>
    <row r="27">
      <c r="A27" s="2" t="inlineStr">
        <is>
          <t>MCU current while the display is up</t>
        </is>
      </c>
      <c r="B27" s="6" t="n">
        <v>1.5</v>
      </c>
      <c r="C27" s="2" t="inlineStr">
        <is>
          <t>mA</t>
        </is>
      </c>
      <c r="D27" s="7" t="inlineStr">
        <is>
          <t>ESTIMATE; depends on clock speed (AVR128DB data sheet gives the curve).</t>
        </is>
      </c>
    </row>
    <row r="28">
      <c r="A28" s="2" t="n"/>
      <c r="B28" s="2" t="n"/>
      <c r="C28" s="2" t="n"/>
      <c r="D28" s="2" t="n"/>
    </row>
    <row r="29">
      <c r="A29" s="4" t="inlineStr">
        <is>
          <t>5. Always-on draw (the watch waiting to be woken)</t>
        </is>
      </c>
      <c r="B29" s="5" t="n"/>
      <c r="C29" s="5" t="n"/>
      <c r="D29" s="5" t="n"/>
    </row>
    <row r="30">
      <c r="A30" s="2" t="inlineStr">
        <is>
          <t>MCU deep sleep with 32.768 kHz clock running</t>
        </is>
      </c>
      <c r="B30" s="13" t="n">
        <v>3.3</v>
      </c>
      <c r="C30" s="2" t="inlineStr">
        <is>
          <t>uA</t>
        </is>
      </c>
      <c r="D30" s="7" t="inlineStr">
        <is>
          <t>Derived from the AVR128DB data sheet (power-down 0.65 uA + RTC/crystal ~2.6 uA); not a printed figure.</t>
        </is>
      </c>
    </row>
    <row r="31">
      <c r="A31" s="2" t="inlineStr">
        <is>
          <t>3.3 V regulator quiescent current</t>
        </is>
      </c>
      <c r="B31" s="13" t="n">
        <v>1.6</v>
      </c>
      <c r="C31" s="2" t="inlineStr">
        <is>
          <t>uA</t>
        </is>
      </c>
      <c r="D31" s="7" t="inlineStr">
        <is>
          <t>VERIFIED: MCP1700 data sheet (Variant A). The BQ25570 buck (Variant B) is similar or lower.</t>
        </is>
      </c>
    </row>
    <row r="32">
      <c r="A32" s="2" t="inlineStr">
        <is>
          <t>How the watch is woken (pick from the list)</t>
        </is>
      </c>
      <c r="B32" s="14" t="inlineStr">
        <is>
          <t>LIS2DW12 accelerometer wake</t>
        </is>
      </c>
      <c r="C32" s="2" t="n"/>
      <c r="D32" s="7" t="inlineStr">
        <is>
          <t>Button only = nothing running. BMI270 = the 6-axis sensor in wake-on-motion. BMA400 = a simpler accelerometer.</t>
        </is>
      </c>
    </row>
    <row r="33">
      <c r="A33" s="2" t="inlineStr">
        <is>
          <t>Custom wake sensor current (used only if you pick Custom)</t>
        </is>
      </c>
      <c r="B33" s="13" t="n">
        <v>5</v>
      </c>
      <c r="C33" s="2" t="inlineStr">
        <is>
          <t>uA</t>
        </is>
      </c>
      <c r="D33" s="2" t="n"/>
    </row>
    <row r="34">
      <c r="A34" s="2" t="inlineStr">
        <is>
          <t>Custom wake sensor supply voltage</t>
        </is>
      </c>
      <c r="B34" s="13" t="n">
        <v>3.3</v>
      </c>
      <c r="C34" s="2" t="inlineStr">
        <is>
          <t>V</t>
        </is>
      </c>
      <c r="D34" s="2" t="n"/>
    </row>
    <row r="35">
      <c r="A35" s="2" t="n"/>
      <c r="B35" s="2" t="n"/>
      <c r="C35" s="2" t="n"/>
      <c r="D35" s="2" t="n"/>
    </row>
    <row r="36">
      <c r="A36" s="4" t="inlineStr">
        <is>
          <t>6. Solar (optional)</t>
        </is>
      </c>
      <c r="B36" s="5" t="n"/>
      <c r="C36" s="5" t="n"/>
      <c r="D36" s="5" t="n"/>
    </row>
    <row r="37">
      <c r="A37" s="2" t="inlineStr">
        <is>
          <t>Solar cell (pick from the list)</t>
        </is>
      </c>
      <c r="B37" s="14" t="inlineStr">
        <is>
          <t>KXOB25-07X1TF</t>
        </is>
      </c>
      <c r="C37" s="2" t="n"/>
      <c r="D37" s="2" t="n"/>
    </row>
    <row r="38">
      <c r="A38" s="2" t="inlineStr">
        <is>
          <t>Wearer profile (pick from the list)</t>
        </is>
      </c>
      <c r="B38" s="14" t="inlineStr">
        <is>
          <t>Commuter</t>
        </is>
      </c>
      <c r="C38" s="2" t="n"/>
      <c r="D38" s="2" t="n"/>
    </row>
    <row r="39">
      <c r="A39" s="2" t="inlineStr">
        <is>
          <t>Wrist factor (face tilted, sleeve shade)</t>
        </is>
      </c>
      <c r="B39" s="6" t="n">
        <v>0.5</v>
      </c>
      <c r="C39" s="2" t="n"/>
      <c r="D39" s="7" t="inlineStr">
        <is>
          <t>ESTIMATE (research report: wrist reads under half of eye-level light).</t>
        </is>
      </c>
    </row>
    <row r="40">
      <c r="A40" s="2" t="inlineStr">
        <is>
          <t>Optical / area factor (bezel, glass, LED rings)</t>
        </is>
      </c>
      <c r="B40" s="6" t="n">
        <v>0.85</v>
      </c>
      <c r="C40" s="2" t="n"/>
      <c r="D40" s="7" t="inlineStr">
        <is>
          <t>ESTIMATE.</t>
        </is>
      </c>
    </row>
    <row r="41">
      <c r="A41" s="2" t="inlineStr">
        <is>
          <t>Harvester IC efficiency</t>
        </is>
      </c>
      <c r="B41" s="6" t="n">
        <v>0.75</v>
      </c>
      <c r="C41" s="2" t="n"/>
      <c r="D41" s="7" t="inlineStr">
        <is>
          <t>ESTIMATE; real harvesters do worse at microwatt levels.</t>
        </is>
      </c>
    </row>
    <row r="42">
      <c r="A42" s="2" t="inlineStr">
        <is>
          <t>Charge efficiency into the battery</t>
        </is>
      </c>
      <c r="B42" s="6" t="n">
        <v>0.95</v>
      </c>
      <c r="C42" s="2" t="n"/>
      <c r="D42" s="7" t="inlineStr">
        <is>
          <t>ESTIMATE.</t>
        </is>
      </c>
    </row>
    <row r="43">
      <c r="A43" s="2" t="n"/>
      <c r="B43" s="2" t="n"/>
      <c r="C43" s="2" t="n"/>
      <c r="D43" s="2" t="n"/>
    </row>
    <row r="44">
      <c r="A44" s="4" t="inlineStr">
        <is>
          <t>7. Special mode: fluid / gravity / tilt game (optional, a minute or two a day)</t>
        </is>
      </c>
      <c r="B44" s="5" t="n"/>
      <c r="C44" s="5" t="n"/>
      <c r="D44" s="5" t="n"/>
    </row>
    <row r="45">
      <c r="A45" s="2" t="inlineStr">
        <is>
          <t>Minutes of special mode per day</t>
        </is>
      </c>
      <c r="B45" s="13" t="n">
        <v>2</v>
      </c>
      <c r="C45" s="2" t="inlineStr">
        <is>
          <t>min</t>
        </is>
      </c>
      <c r="D45" s="2" t="n"/>
    </row>
    <row r="46">
      <c r="A46" s="2" t="inlineStr">
        <is>
          <t>LEDs lit at once (average) while playing</t>
        </is>
      </c>
      <c r="B46" s="11" t="n">
        <v>40</v>
      </c>
      <c r="C46" s="2" t="inlineStr">
        <is>
          <t>LEDs</t>
        </is>
      </c>
      <c r="D46" s="7" t="inlineStr">
        <is>
          <t>A 'liquid' filling about a third of the face = ~40 LEDs.</t>
        </is>
      </c>
    </row>
    <row r="47">
      <c r="A47" s="2" t="inlineStr">
        <is>
          <t>Rows scanned in special mode</t>
        </is>
      </c>
      <c r="B47" s="11" t="n">
        <v>11</v>
      </c>
      <c r="C47" s="2" t="inlineStr">
        <is>
          <t>rows</t>
        </is>
      </c>
      <c r="D47" s="7" t="inlineStr">
        <is>
          <t>11 = every row takes a turn, so each LED is on only 1/11 of the time.</t>
        </is>
      </c>
    </row>
    <row r="48">
      <c r="A48" s="2" t="inlineStr">
        <is>
          <t>PWM duty in special mode</t>
        </is>
      </c>
      <c r="B48" s="12" t="n">
        <v>0.7</v>
      </c>
      <c r="C48" s="2" t="n"/>
      <c r="D48" s="7" t="inlineStr">
        <is>
          <t>70% gives about the same brightness per LED as the clock mode (0.3 mA average); lower it to save energy.</t>
        </is>
      </c>
    </row>
    <row r="49">
      <c r="A49" s="2" t="inlineStr">
        <is>
          <t>Most LEDs lit in ONE row at the same instant (worst case)</t>
        </is>
      </c>
      <c r="B49" s="11" t="n">
        <v>12</v>
      </c>
      <c r="C49" s="2" t="inlineStr">
        <is>
          <t>LEDs</t>
        </is>
      </c>
      <c r="D49" s="7" t="inlineStr">
        <is>
          <t>A full row has 12 LEDs. All of a row's LEDs draw current through that one MCU pin.</t>
        </is>
      </c>
    </row>
    <row r="50">
      <c r="A50" s="2" t="inlineStr">
        <is>
          <t>Most current I will allow through one MCU pin</t>
        </is>
      </c>
      <c r="B50" s="11" t="n">
        <v>20</v>
      </c>
      <c r="C50" s="2" t="inlineStr">
        <is>
          <t>mA</t>
        </is>
      </c>
      <c r="D50" s="7" t="inlineStr">
        <is>
          <t>Conservative ESTIMATE. A web search suggests an absolute maximum around 40 mA per pin, but I could not read the AVR128DB data sheet's own table (UNVERIFIED).</t>
        </is>
      </c>
    </row>
    <row r="51">
      <c r="A51" s="2" t="inlineStr">
        <is>
          <t>Motion sensor mode during the game (pick from the list)</t>
        </is>
      </c>
      <c r="B51" s="14" t="inlineStr">
        <is>
          <t>LIS2DW12 normal mode</t>
        </is>
      </c>
      <c r="C51" s="2" t="n"/>
      <c r="D51" s="2" t="n"/>
    </row>
    <row r="52">
      <c r="A52" s="2" t="inlineStr">
        <is>
          <t>Custom sensor current during the game (used only if you pick Custom)</t>
        </is>
      </c>
      <c r="B52" s="13" t="n">
        <v>100</v>
      </c>
      <c r="C52" s="2" t="inlineStr">
        <is>
          <t>uA</t>
        </is>
      </c>
      <c r="D52" s="2" t="n"/>
    </row>
    <row r="53">
      <c r="A53" s="2" t="inlineStr">
        <is>
          <t>MCU current while running the game</t>
        </is>
      </c>
      <c r="B53" s="6" t="n">
        <v>3</v>
      </c>
      <c r="C53" s="2" t="inlineStr">
        <is>
          <t>mA</t>
        </is>
      </c>
      <c r="D53" s="7" t="inlineStr">
        <is>
          <t>ESTIMATE: physics + drawing needs a faster clock than the clock mode.</t>
        </is>
      </c>
    </row>
    <row r="54"/>
    <row r="55">
      <c r="A55" s="4" t="inlineStr">
        <is>
          <t>8. Hardware choices (pick from the lists; other tabs update)</t>
        </is>
      </c>
      <c r="B55" s="15" t="n"/>
      <c r="C55" s="15" t="n"/>
      <c r="D55" s="15" t="n"/>
    </row>
    <row r="56" ht="28" customHeight="1">
      <c r="A56" s="2" t="inlineStr">
        <is>
          <t>Hour LED</t>
        </is>
      </c>
      <c r="B56" s="16" t="inlineStr">
        <is>
          <t>0603 white - Kento KT-0603W</t>
        </is>
      </c>
      <c r="D56" s="7" t="inlineStr">
        <is>
          <t>Options come from the 'LEDs' tab (white parts only).</t>
        </is>
      </c>
    </row>
    <row r="57" ht="28" customHeight="1">
      <c r="A57" s="2" t="inlineStr">
        <is>
          <t>Minute LED</t>
        </is>
      </c>
      <c r="B57" s="16" t="inlineStr">
        <is>
          <t>0402 white - Xinglight XL-1005UWC</t>
        </is>
      </c>
    </row>
    <row r="58" ht="28" customHeight="1">
      <c r="A58" s="2" t="inlineStr">
        <is>
          <t>Second LED</t>
        </is>
      </c>
      <c r="B58" s="16" t="inlineStr">
        <is>
          <t>0402 white - Xinglight XL-1005UWC</t>
        </is>
      </c>
    </row>
    <row r="59" ht="28" customHeight="1">
      <c r="A59" s="2" t="inlineStr">
        <is>
          <t>Battery</t>
        </is>
      </c>
      <c r="B59" s="16" t="inlineStr">
        <is>
          <t>Renata ICP501022UPM (80 mAh)</t>
        </is>
      </c>
      <c r="D59" s="7" t="inlineStr">
        <is>
          <t>Options come from the 'Batteries' tab; capacity feeds row 6.</t>
        </is>
      </c>
    </row>
    <row r="60">
      <c r="A60" s="2" t="inlineStr">
        <is>
          <t>Power variant</t>
        </is>
      </c>
      <c r="B60" s="16" t="inlineStr">
        <is>
          <t>A: pad-charged</t>
        </is>
      </c>
      <c r="D60" s="7" t="inlineStr">
        <is>
          <t>A = charged through two pads (no solar). B = solar cell + harvester chip. B also puts the solar cell on the front for the board-size calculation.</t>
        </is>
      </c>
    </row>
    <row r="61">
      <c r="A61" s="2" t="inlineStr">
        <is>
          <t>Where to buy (for the cost on the Parts tab)</t>
        </is>
      </c>
      <c r="B61" s="16" t="inlineStr">
        <is>
          <t>JLCPCB / LCSC</t>
        </is>
      </c>
    </row>
  </sheetData>
  <mergeCells count="1">
    <mergeCell ref="A2:D2"/>
  </mergeCells>
  <dataValidations count="8">
    <dataValidation sqref="B32" showDropDown="0" showInputMessage="0" showErrorMessage="0" allowBlank="0" type="list">
      <formula1>=Lists!$A$2:$A$6</formula1>
    </dataValidation>
    <dataValidation sqref="B51" showDropDown="0" showInputMessage="0" showErrorMessage="0" allowBlank="0" type="list">
      <formula1>=Lists!$F$2:$F$6</formula1>
    </dataValidation>
    <dataValidation sqref="B37" showDropDown="0" showInputMessage="0" showErrorMessage="0" allowBlank="0" type="list">
      <formula1>=Solar!$A$28:$A$30</formula1>
    </dataValidation>
    <dataValidation sqref="B38" showDropDown="0" showInputMessage="0" showErrorMessage="0" allowBlank="0" type="list">
      <formula1>=Solar!$B$27:$D$27</formula1>
    </dataValidation>
    <dataValidation sqref="B56 B57 B58" showDropDown="0" showInputMessage="0" showErrorMessage="0" allowBlank="0" type="list">
      <formula1>=LEDs!$B$4:$G$4</formula1>
    </dataValidation>
    <dataValidation sqref="B59" showDropDown="0" showInputMessage="0" showErrorMessage="0" allowBlank="0" type="list">
      <formula1>=Batteries!$B$4:$E$4</formula1>
    </dataValidation>
    <dataValidation sqref="B60" showDropDown="0" showInputMessage="0" showErrorMessage="0" allowBlank="0" type="list">
      <formula1>"A: pad-charged,B: solar harvester"</formula1>
    </dataValidation>
    <dataValidation sqref="B61" showDropDown="0" showInputMessage="0" showErrorMessage="0" allowBlank="0" type="list">
      <formula1>"JLCPCB / LCSC,DigiKey / Mouser"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LED catalog: white options for the clock face, and the RGB parts from the first design</t>
        </is>
      </c>
    </row>
    <row r="2" ht="40" customHeight="1">
      <c r="A2" s="3" t="inlineStr">
        <is>
          <t>Prices, stock and links checked live on 2026-10-08 (DigiKey, JLCPCB) unless marked. VERIFIED = read from the distributor page or datasheet; ESTIMATE/UNVERIFIED = not confirmed. Pad length/width come from KiCad's stock footprints and drive the ring-size calculator on the 'Board size' tab. The first six columns can be picked on the Inputs tab.</t>
        </is>
      </c>
    </row>
    <row r="3"/>
    <row r="4" ht="62" customHeight="1">
      <c r="A4" s="17" t="inlineStr">
        <is>
          <t>Attribute</t>
        </is>
      </c>
      <c r="B4" s="17" t="inlineStr">
        <is>
          <t>0201 white - Xinglight XL-0201UWC</t>
        </is>
      </c>
      <c r="C4" s="17" t="inlineStr">
        <is>
          <t>0402 white - Xinglight XL-1005UWC</t>
        </is>
      </c>
      <c r="D4" s="17" t="inlineStr">
        <is>
          <t>0603 white - Kento KT-0603W</t>
        </is>
      </c>
      <c r="E4" s="17" t="inlineStr">
        <is>
          <t>0603 white - Dialight 5973904507F (DigiKey alt)</t>
        </is>
      </c>
      <c r="F4" s="17" t="inlineStr">
        <is>
          <t>0805 white - Kento KT-0805W</t>
        </is>
      </c>
      <c r="G4" s="17" t="inlineStr">
        <is>
          <t>0805 white - Lite-On LTW-170TK (DigiKey alt)</t>
        </is>
      </c>
      <c r="H4" s="17" t="inlineStr">
        <is>
          <t>RGB 0.83 mm - Harvatek B39D3RGB (original design)</t>
        </is>
      </c>
      <c r="I4" s="17" t="inlineStr">
        <is>
          <t>RGB 0.8 mm - Meihua MHPA0808RGBDT (JLCPCB alt)</t>
        </is>
      </c>
    </row>
    <row r="5" ht="62" customHeight="1">
      <c r="A5" s="18" t="inlineStr">
        <is>
          <t>Role / why it is here</t>
        </is>
      </c>
      <c r="B5" s="19" t="inlineStr">
        <is>
          <t>Option: smallest white LED (0201). Hardest to place and inspect.</t>
        </is>
      </c>
      <c r="C5" s="19" t="inlineStr">
        <is>
          <t>Option: small white LED for the second and minute rings (0402).</t>
        </is>
      </c>
      <c r="D5" s="19" t="inlineStr">
        <is>
          <t>CURRENT DESIGN default for the hour ring (0603).</t>
        </is>
      </c>
      <c r="E5" s="19" t="inlineStr">
        <is>
          <t>DigiKey stand-in for the 0603 white LED (not the same part).</t>
        </is>
      </c>
      <c r="F5" s="19" t="inlineStr">
        <is>
          <t>CURRENT DESIGN option for the hour ring if you want it brighter/larger (0805).</t>
        </is>
      </c>
      <c r="G5" s="19" t="inlineStr">
        <is>
          <t>DigiKey stand-in for the 0805 white LED (the 4th size).</t>
        </is>
      </c>
      <c r="H5" s="19" t="inlineStr">
        <is>
          <t>RGB LED from the first (RGB) watch design.</t>
        </is>
      </c>
      <c r="I5" s="19" t="inlineStr">
        <is>
          <t>JLCPCB's in-stock stand-in for the RGB LED (common ANODE).</t>
        </is>
      </c>
    </row>
    <row r="6">
      <c r="A6" s="18" t="inlineStr">
        <is>
          <t>Colour</t>
        </is>
      </c>
      <c r="B6" s="19" t="inlineStr">
        <is>
          <t>White (cool)</t>
        </is>
      </c>
      <c r="C6" s="19" t="inlineStr">
        <is>
          <t>White (cool)</t>
        </is>
      </c>
      <c r="D6" s="19" t="inlineStr">
        <is>
          <t>White</t>
        </is>
      </c>
      <c r="E6" s="19" t="inlineStr">
        <is>
          <t>White</t>
        </is>
      </c>
      <c r="F6" s="19" t="inlineStr">
        <is>
          <t>White</t>
        </is>
      </c>
      <c r="G6" s="19" t="inlineStr">
        <is>
          <t>White</t>
        </is>
      </c>
      <c r="H6" s="19" t="inlineStr">
        <is>
          <t>Red / green / blue</t>
        </is>
      </c>
      <c r="I6" s="19" t="inlineStr">
        <is>
          <t>Red / green / blue</t>
        </is>
      </c>
    </row>
    <row r="7">
      <c r="A7" s="18" t="inlineStr">
        <is>
          <t>Package</t>
        </is>
      </c>
      <c r="B7" s="19" t="inlineStr">
        <is>
          <t>0201 (0603 metric)</t>
        </is>
      </c>
      <c r="C7" s="19" t="inlineStr">
        <is>
          <t>0402 (1005 metric)</t>
        </is>
      </c>
      <c r="D7" s="19" t="inlineStr">
        <is>
          <t>0603 (1608 metric)</t>
        </is>
      </c>
      <c r="E7" s="19" t="inlineStr">
        <is>
          <t>0603 (1608 metric)</t>
        </is>
      </c>
      <c r="F7" s="19" t="inlineStr">
        <is>
          <t>0805 (2012 metric)</t>
        </is>
      </c>
      <c r="G7" s="19" t="inlineStr">
        <is>
          <t>0805 (2012 metric)</t>
        </is>
      </c>
      <c r="H7" s="19" t="inlineStr">
        <is>
          <t>0.83 x 0.83 mm, 4 pads</t>
        </is>
      </c>
      <c r="I7" s="19" t="inlineStr">
        <is>
          <t>0.8 x 0.8 mm, 4 pads</t>
        </is>
      </c>
    </row>
    <row r="8">
      <c r="A8" s="18" t="inlineStr">
        <is>
          <t>Body size (mm)</t>
        </is>
      </c>
      <c r="B8" s="19" t="inlineStr">
        <is>
          <t>0.65 x 0.35</t>
        </is>
      </c>
      <c r="C8" s="19" t="inlineStr">
        <is>
          <t>1.10 x 0.55</t>
        </is>
      </c>
      <c r="D8" s="19" t="inlineStr">
        <is>
          <t>1.6 x 0.8</t>
        </is>
      </c>
      <c r="E8" s="19" t="inlineStr">
        <is>
          <t>1.6 x 0.8</t>
        </is>
      </c>
      <c r="F8" s="19" t="inlineStr">
        <is>
          <t>2.0 x 1.25</t>
        </is>
      </c>
      <c r="G8" s="19" t="inlineStr">
        <is>
          <t>2.0 x 1.25</t>
        </is>
      </c>
      <c r="H8" s="19" t="inlineStr">
        <is>
          <t>0.83 x 0.83</t>
        </is>
      </c>
      <c r="I8" s="19" t="inlineStr">
        <is>
          <t>0.8 x 0.8</t>
        </is>
      </c>
    </row>
    <row r="9">
      <c r="A9" s="18" t="inlineStr">
        <is>
          <t>Pad-axis length (mm, KiCad footprint)</t>
        </is>
      </c>
      <c r="B9" s="20" t="n">
        <v>1.1</v>
      </c>
      <c r="C9" s="20" t="n">
        <v>1.56</v>
      </c>
      <c r="D9" s="20" t="n">
        <v>2.45</v>
      </c>
      <c r="E9" s="20" t="n">
        <v>2.45</v>
      </c>
      <c r="F9" s="20" t="n">
        <v>2.85</v>
      </c>
      <c r="G9" s="20" t="n">
        <v>2.85</v>
      </c>
      <c r="H9" s="21" t="inlineStr">
        <is>
          <t>n/a</t>
        </is>
      </c>
      <c r="I9" s="21" t="inlineStr">
        <is>
          <t>n/a</t>
        </is>
      </c>
    </row>
    <row r="10">
      <c r="A10" s="18" t="inlineStr">
        <is>
          <t>Pad width (mm, KiCad footprint)</t>
        </is>
      </c>
      <c r="B10" s="20" t="n">
        <v>0.4</v>
      </c>
      <c r="C10" s="20" t="n">
        <v>0.64</v>
      </c>
      <c r="D10" s="20" t="n">
        <v>0.95</v>
      </c>
      <c r="E10" s="20" t="n">
        <v>0.95</v>
      </c>
      <c r="F10" s="20" t="n">
        <v>1.4</v>
      </c>
      <c r="G10" s="20" t="n">
        <v>1.4</v>
      </c>
      <c r="H10" s="21" t="inlineStr">
        <is>
          <t>n/a</t>
        </is>
      </c>
      <c r="I10" s="21" t="inlineStr">
        <is>
          <t>n/a</t>
        </is>
      </c>
    </row>
    <row r="11">
      <c r="A11" s="18" t="inlineStr">
        <is>
          <t>Height max (mm)</t>
        </is>
      </c>
      <c r="B11" s="20" t="n">
        <v>0.65</v>
      </c>
      <c r="C11" s="20" t="n">
        <v>0.7</v>
      </c>
      <c r="D11" s="20" t="n">
        <v>0.65</v>
      </c>
      <c r="E11" s="20" t="n">
        <v>0.65</v>
      </c>
      <c r="F11" s="20" t="n">
        <v>0.8</v>
      </c>
      <c r="G11" s="20" t="n">
        <v>0.8</v>
      </c>
      <c r="H11" s="20" t="n">
        <v>0.75</v>
      </c>
      <c r="I11" s="20" t="n">
        <v>0.6</v>
      </c>
    </row>
    <row r="12">
      <c r="A12" s="18" t="inlineStr">
        <is>
          <t>Forward voltage typ (V)</t>
        </is>
      </c>
      <c r="B12" s="20" t="n">
        <v>2.7</v>
      </c>
      <c r="C12" s="20" t="n">
        <v>2.8</v>
      </c>
      <c r="D12" s="20" t="n">
        <v>2.85</v>
      </c>
      <c r="E12" s="20" t="n">
        <v>2.9</v>
      </c>
      <c r="F12" s="20" t="n">
        <v>2.9</v>
      </c>
      <c r="G12" s="20" t="n">
        <v>3.3</v>
      </c>
      <c r="H12" s="20" t="n">
        <v>2.5</v>
      </c>
      <c r="I12" s="20" t="n">
        <v>2.5</v>
      </c>
    </row>
    <row r="13">
      <c r="A13" s="18" t="inlineStr">
        <is>
          <t>Test current for brightness (mA)</t>
        </is>
      </c>
      <c r="B13" s="22" t="n">
        <v>5</v>
      </c>
      <c r="C13" s="22" t="n">
        <v>20</v>
      </c>
      <c r="D13" s="22" t="n">
        <v>5</v>
      </c>
      <c r="E13" s="22" t="n">
        <v>20</v>
      </c>
      <c r="F13" s="22" t="n">
        <v>5</v>
      </c>
      <c r="G13" s="22" t="n">
        <v>20</v>
      </c>
      <c r="H13" s="22" t="n">
        <v>5</v>
      </c>
      <c r="I13" s="22" t="n">
        <v>3</v>
      </c>
    </row>
    <row r="14">
      <c r="A14" s="18" t="inlineStr">
        <is>
          <t>Brightness at test current (mcd)</t>
        </is>
      </c>
      <c r="B14" s="22" t="n">
        <v>185</v>
      </c>
      <c r="C14" s="22" t="n">
        <v>690</v>
      </c>
      <c r="D14" s="22" t="n">
        <v>250</v>
      </c>
      <c r="E14" s="22" t="n">
        <v>120</v>
      </c>
      <c r="F14" s="22" t="n">
        <v>250</v>
      </c>
      <c r="G14" s="22" t="n">
        <v>281</v>
      </c>
      <c r="H14" s="23" t="inlineStr">
        <is>
          <t>R 26 / G 37 / B 7.5</t>
        </is>
      </c>
      <c r="I14" s="23" t="inlineStr">
        <is>
          <t>R 16-28 / G 28-47 / B 7.5-12.6</t>
        </is>
      </c>
    </row>
    <row r="15">
      <c r="A15" s="18" t="inlineStr">
        <is>
          <t>Viewing angle (deg)</t>
        </is>
      </c>
      <c r="B15" s="22" t="n">
        <v>120</v>
      </c>
      <c r="C15" s="22" t="n">
        <v>120</v>
      </c>
      <c r="D15" s="22" t="n">
        <v>120</v>
      </c>
      <c r="E15" s="21" t="inlineStr">
        <is>
          <t>n/a</t>
        </is>
      </c>
      <c r="F15" s="22" t="n">
        <v>120</v>
      </c>
      <c r="G15" s="21" t="inlineStr">
        <is>
          <t>n/a</t>
        </is>
      </c>
      <c r="H15" s="22" t="n">
        <v>140</v>
      </c>
      <c r="I15" s="22" t="n">
        <v>120</v>
      </c>
    </row>
    <row r="16">
      <c r="A16" s="18" t="inlineStr">
        <is>
          <t>Configuration</t>
        </is>
      </c>
      <c r="B16" s="19" t="inlineStr">
        <is>
          <t>Single LED, 2 pads</t>
        </is>
      </c>
      <c r="C16" s="19" t="inlineStr">
        <is>
          <t>Single LED, 2 pads</t>
        </is>
      </c>
      <c r="D16" s="19" t="inlineStr">
        <is>
          <t>Single LED, 2 pads</t>
        </is>
      </c>
      <c r="E16" s="19" t="inlineStr">
        <is>
          <t>Single LED, 2 pads</t>
        </is>
      </c>
      <c r="F16" s="19" t="inlineStr">
        <is>
          <t>Single LED, 2 pads</t>
        </is>
      </c>
      <c r="G16" s="19" t="inlineStr">
        <is>
          <t>Single LED, 2 pads</t>
        </is>
      </c>
      <c r="H16" s="19" t="inlineStr">
        <is>
          <t>Common CATHODE</t>
        </is>
      </c>
      <c r="I16" s="19" t="inlineStr">
        <is>
          <t>Common ANODE</t>
        </is>
      </c>
    </row>
    <row r="17">
      <c r="A17" s="18" t="inlineStr">
        <is>
          <t>DigiKey part number</t>
        </is>
      </c>
      <c r="B17" s="19" t="inlineStr">
        <is>
          <t>5962-XL-0201UWCTR-ND</t>
        </is>
      </c>
      <c r="C17" s="19" t="inlineStr">
        <is>
          <t>5962-XL-1005UWCTR-ND</t>
        </is>
      </c>
      <c r="D17" s="19" t="inlineStr">
        <is>
          <t>Not sold by DigiKey</t>
        </is>
      </c>
      <c r="E17" s="19" t="inlineStr">
        <is>
          <t>350-4383-2-ND</t>
        </is>
      </c>
      <c r="F17" s="19" t="inlineStr">
        <is>
          <t>Not sold by DigiKey</t>
        </is>
      </c>
      <c r="G17" s="19" t="inlineStr">
        <is>
          <t>160-1738-2-ND</t>
        </is>
      </c>
      <c r="H17" s="19" t="inlineStr">
        <is>
          <t>3147-B39D3RGB-F6C0001HOU1930CT-ND</t>
        </is>
      </c>
      <c r="I17" s="19" t="inlineStr">
        <is>
          <t>Not checked at DigiKey</t>
        </is>
      </c>
    </row>
    <row r="18">
      <c r="A18" s="18" t="inlineStr">
        <is>
          <t>DigiKey stock</t>
        </is>
      </c>
      <c r="B18" s="24" t="n">
        <v>100000</v>
      </c>
      <c r="C18" s="24" t="n">
        <v>100000</v>
      </c>
      <c r="D18" s="21" t="inlineStr">
        <is>
          <t>n/a</t>
        </is>
      </c>
      <c r="E18" s="24" t="n">
        <v>2053</v>
      </c>
      <c r="F18" s="21" t="inlineStr">
        <is>
          <t>n/a</t>
        </is>
      </c>
      <c r="G18" s="24" t="n">
        <v>155071</v>
      </c>
      <c r="H18" s="24" t="n">
        <v>20772</v>
      </c>
      <c r="I18" s="21" t="inlineStr">
        <is>
          <t>n/a</t>
        </is>
      </c>
    </row>
    <row r="19">
      <c r="A19" s="18" t="inlineStr">
        <is>
          <t>DigiKey unit price at the minimum order (USD)</t>
        </is>
      </c>
      <c r="B19" s="25" t="n">
        <v>0.09375</v>
      </c>
      <c r="C19" s="25" t="n">
        <v>0.01563</v>
      </c>
      <c r="D19" s="21" t="inlineStr">
        <is>
          <t>n/a</t>
        </is>
      </c>
      <c r="E19" s="25" t="n">
        <v>0.62</v>
      </c>
      <c r="F19" s="21" t="inlineStr">
        <is>
          <t>n/a</t>
        </is>
      </c>
      <c r="G19" s="25" t="n">
        <v>0.5</v>
      </c>
      <c r="H19" s="25" t="n">
        <v>0.4</v>
      </c>
      <c r="I19" s="21" t="inlineStr">
        <is>
          <t>n/a</t>
        </is>
      </c>
    </row>
    <row r="20">
      <c r="A20" s="18" t="inlineStr">
        <is>
          <t>DigiKey unit price at ~100 (USD)</t>
        </is>
      </c>
      <c r="B20" s="21" t="inlineStr">
        <is>
          <t>n/a</t>
        </is>
      </c>
      <c r="C20" s="21" t="inlineStr">
        <is>
          <t>n/a</t>
        </is>
      </c>
      <c r="D20" s="21" t="inlineStr">
        <is>
          <t>n/a</t>
        </is>
      </c>
      <c r="E20" s="25" t="n">
        <v>0.3103</v>
      </c>
      <c r="F20" s="21" t="inlineStr">
        <is>
          <t>n/a</t>
        </is>
      </c>
      <c r="G20" s="25" t="n">
        <v>0.2476</v>
      </c>
      <c r="H20" s="25" t="n">
        <v>0.1969</v>
      </c>
      <c r="I20" s="21" t="inlineStr">
        <is>
          <t>n/a</t>
        </is>
      </c>
    </row>
    <row r="21">
      <c r="A21" s="18" t="inlineStr">
        <is>
          <t>DigiKey minimum order (pieces)</t>
        </is>
      </c>
      <c r="B21" s="24" t="n">
        <v>5000</v>
      </c>
      <c r="C21" s="24" t="n">
        <v>5000</v>
      </c>
      <c r="D21" s="21" t="inlineStr">
        <is>
          <t>n/a</t>
        </is>
      </c>
      <c r="E21" s="24" t="n">
        <v>1</v>
      </c>
      <c r="F21" s="21" t="inlineStr">
        <is>
          <t>n/a</t>
        </is>
      </c>
      <c r="G21" s="24" t="n">
        <v>1</v>
      </c>
      <c r="H21" s="24" t="n">
        <v>1</v>
      </c>
      <c r="I21" s="21" t="inlineStr">
        <is>
          <t>n/a</t>
        </is>
      </c>
    </row>
    <row r="22">
      <c r="A22" s="18" t="inlineStr">
        <is>
          <t>DigiKey cost of one minimum order (USD)</t>
        </is>
      </c>
      <c r="B22" s="26">
        <f>IF(AND(ISNUMBER(B19),ISNUMBER(B21)),B19*B21,"n/a")</f>
        <v/>
      </c>
      <c r="C22" s="26">
        <f>IF(AND(ISNUMBER(C19),ISNUMBER(C21)),C19*C21,"n/a")</f>
        <v/>
      </c>
      <c r="D22" s="26">
        <f>IF(AND(ISNUMBER(D19),ISNUMBER(D21)),D19*D21,"n/a")</f>
        <v/>
      </c>
      <c r="E22" s="26">
        <f>IF(AND(ISNUMBER(E19),ISNUMBER(E21)),E19*E21,"n/a")</f>
        <v/>
      </c>
      <c r="F22" s="26">
        <f>IF(AND(ISNUMBER(F19),ISNUMBER(F21)),F19*F21,"n/a")</f>
        <v/>
      </c>
      <c r="G22" s="26">
        <f>IF(AND(ISNUMBER(G19),ISNUMBER(G21)),G19*G21,"n/a")</f>
        <v/>
      </c>
      <c r="H22" s="26">
        <f>IF(AND(ISNUMBER(H19),ISNUMBER(H21)),H19*H21,"n/a")</f>
        <v/>
      </c>
      <c r="I22" s="26">
        <f>IF(AND(ISNUMBER(I19),ISNUMBER(I21)),I19*I21,"n/a")</f>
        <v/>
      </c>
    </row>
    <row r="23">
      <c r="A23" s="18" t="inlineStr">
        <is>
          <t>DigiKey link</t>
        </is>
      </c>
      <c r="B23" s="27" t="inlineStr">
        <is>
          <t>DigiKey page</t>
        </is>
      </c>
      <c r="C23" s="27" t="inlineStr">
        <is>
          <t>DigiKey page</t>
        </is>
      </c>
      <c r="D23" s="19" t="inlineStr">
        <is>
          <t>-</t>
        </is>
      </c>
      <c r="E23" s="27" t="inlineStr">
        <is>
          <t>DigiKey page</t>
        </is>
      </c>
      <c r="F23" s="19" t="inlineStr">
        <is>
          <t>-</t>
        </is>
      </c>
      <c r="G23" s="27" t="inlineStr">
        <is>
          <t>DigiKey page</t>
        </is>
      </c>
      <c r="H23" s="27" t="inlineStr">
        <is>
          <t>DigiKey page</t>
        </is>
      </c>
      <c r="I23" s="19" t="inlineStr">
        <is>
          <t>-</t>
        </is>
      </c>
    </row>
    <row r="24">
      <c r="A24" s="18" t="inlineStr">
        <is>
          <t>JLCPCB / LCSC part</t>
        </is>
      </c>
      <c r="B24" s="19" t="inlineStr">
        <is>
          <t>C965789</t>
        </is>
      </c>
      <c r="C24" s="19" t="inlineStr">
        <is>
          <t>C20613596</t>
        </is>
      </c>
      <c r="D24" s="19" t="inlineStr">
        <is>
          <t>C2290</t>
        </is>
      </c>
      <c r="E24" s="19" t="inlineStr">
        <is>
          <t>n/a</t>
        </is>
      </c>
      <c r="F24" s="19" t="inlineStr">
        <is>
          <t>C34499</t>
        </is>
      </c>
      <c r="G24" s="19" t="inlineStr">
        <is>
          <t>n/a</t>
        </is>
      </c>
      <c r="H24" s="19" t="inlineStr">
        <is>
          <t>C6509069</t>
        </is>
      </c>
      <c r="I24" s="19" t="inlineStr">
        <is>
          <t>C404279</t>
        </is>
      </c>
    </row>
    <row r="25">
      <c r="A25" s="18" t="inlineStr">
        <is>
          <t>JLCPCB library type (Basic = no extra fee)</t>
        </is>
      </c>
      <c r="B25" s="19" t="inlineStr">
        <is>
          <t>Extended</t>
        </is>
      </c>
      <c r="C25" s="19" t="inlineStr">
        <is>
          <t>Extended</t>
        </is>
      </c>
      <c r="D25" s="19" t="inlineStr">
        <is>
          <t>Basic</t>
        </is>
      </c>
      <c r="E25" s="19" t="inlineStr">
        <is>
          <t>n/a</t>
        </is>
      </c>
      <c r="F25" s="19" t="inlineStr">
        <is>
          <t>Basic</t>
        </is>
      </c>
      <c r="G25" s="19" t="inlineStr">
        <is>
          <t>n/a</t>
        </is>
      </c>
      <c r="H25" s="19" t="inlineStr">
        <is>
          <t>Extended</t>
        </is>
      </c>
      <c r="I25" s="19" t="inlineStr">
        <is>
          <t>Extended</t>
        </is>
      </c>
    </row>
    <row r="26">
      <c r="A26" s="18" t="inlineStr">
        <is>
          <t>JLCPCB stock</t>
        </is>
      </c>
      <c r="B26" s="24" t="n">
        <v>7966</v>
      </c>
      <c r="C26" s="24" t="n">
        <v>337280</v>
      </c>
      <c r="D26" s="24" t="n">
        <v>2096313</v>
      </c>
      <c r="E26" s="21" t="inlineStr">
        <is>
          <t>n/a</t>
        </is>
      </c>
      <c r="F26" s="24" t="n">
        <v>482058</v>
      </c>
      <c r="G26" s="21" t="inlineStr">
        <is>
          <t>n/a</t>
        </is>
      </c>
      <c r="H26" s="24" t="n">
        <v>0</v>
      </c>
      <c r="I26" s="24" t="n">
        <v>14075</v>
      </c>
    </row>
    <row r="27">
      <c r="A27" s="18" t="inlineStr">
        <is>
          <t>JLCPCB unit price at low quantity (USD)</t>
        </is>
      </c>
      <c r="B27" s="25" t="n">
        <v>0.07000000000000001</v>
      </c>
      <c r="C27" s="25" t="n">
        <v>0.0113</v>
      </c>
      <c r="D27" s="25" t="n">
        <v>0.0122</v>
      </c>
      <c r="E27" s="21" t="inlineStr">
        <is>
          <t>n/a</t>
        </is>
      </c>
      <c r="F27" s="25" t="n">
        <v>0.0202</v>
      </c>
      <c r="G27" s="21" t="inlineStr">
        <is>
          <t>n/a</t>
        </is>
      </c>
      <c r="H27" s="21" t="inlineStr">
        <is>
          <t>n/a</t>
        </is>
      </c>
      <c r="I27" s="25" t="n">
        <v>0.0472</v>
      </c>
    </row>
    <row r="28">
      <c r="A28" s="18" t="inlineStr">
        <is>
          <t>JLCPCB link</t>
        </is>
      </c>
      <c r="B28" s="27" t="inlineStr">
        <is>
          <t>JLCPCB page</t>
        </is>
      </c>
      <c r="C28" s="27" t="inlineStr">
        <is>
          <t>JLCPCB page</t>
        </is>
      </c>
      <c r="D28" s="27" t="inlineStr">
        <is>
          <t>JLCPCB page</t>
        </is>
      </c>
      <c r="E28" s="19" t="inlineStr">
        <is>
          <t>-</t>
        </is>
      </c>
      <c r="F28" s="27" t="inlineStr">
        <is>
          <t>JLCPCB page</t>
        </is>
      </c>
      <c r="G28" s="19" t="inlineStr">
        <is>
          <t>-</t>
        </is>
      </c>
      <c r="H28" s="27" t="inlineStr">
        <is>
          <t>JLCPCB page</t>
        </is>
      </c>
      <c r="I28" s="27" t="inlineStr">
        <is>
          <t>JLCPCB page</t>
        </is>
      </c>
    </row>
    <row r="29">
      <c r="A29" s="18" t="inlineStr">
        <is>
          <t>Datasheet</t>
        </is>
      </c>
      <c r="B29" s="27" t="inlineStr">
        <is>
          <t>datasheet / listing</t>
        </is>
      </c>
      <c r="C29" s="27" t="inlineStr">
        <is>
          <t>datasheet / listing</t>
        </is>
      </c>
      <c r="D29" s="27" t="inlineStr">
        <is>
          <t>datasheet / listing</t>
        </is>
      </c>
      <c r="E29" s="27" t="inlineStr">
        <is>
          <t>datasheet / listing</t>
        </is>
      </c>
      <c r="F29" s="27" t="inlineStr">
        <is>
          <t>datasheet / listing</t>
        </is>
      </c>
      <c r="G29" s="27" t="inlineStr">
        <is>
          <t>datasheet / listing</t>
        </is>
      </c>
      <c r="H29" s="27" t="inlineStr">
        <is>
          <t>datasheet / listing</t>
        </is>
      </c>
      <c r="I29" s="27" t="inlineStr">
        <is>
          <t>datasheet / listing</t>
        </is>
      </c>
    </row>
    <row r="30">
      <c r="A30" s="18" t="inlineStr">
        <is>
          <t>Status</t>
        </is>
      </c>
      <c r="B30" s="19" t="inlineStr">
        <is>
          <t>Active</t>
        </is>
      </c>
      <c r="C30" s="19" t="inlineStr">
        <is>
          <t>Active</t>
        </is>
      </c>
      <c r="D30" s="19" t="inlineStr">
        <is>
          <t>Active</t>
        </is>
      </c>
      <c r="E30" s="19" t="inlineStr">
        <is>
          <t>Active</t>
        </is>
      </c>
      <c r="F30" s="19" t="inlineStr">
        <is>
          <t>Active</t>
        </is>
      </c>
      <c r="G30" s="19" t="inlineStr">
        <is>
          <t>Active</t>
        </is>
      </c>
      <c r="H30" s="19" t="inlineStr">
        <is>
          <t>OBSOLETE (stocked until sold out)</t>
        </is>
      </c>
      <c r="I30" s="19" t="inlineStr">
        <is>
          <t>Active</t>
        </is>
      </c>
    </row>
    <row r="31">
      <c r="A31" s="18" t="inlineStr">
        <is>
          <t>Cost of the 132 LEDs at DigiKey price (USD)</t>
        </is>
      </c>
      <c r="B31" s="26">
        <f>IF(ISNUMBER(B20),B20*132,IF(ISNUMBER(B19),B19*132,"n/a"))</f>
        <v/>
      </c>
      <c r="C31" s="26">
        <f>IF(ISNUMBER(C20),C20*132,IF(ISNUMBER(C19),C19*132,"n/a"))</f>
        <v/>
      </c>
      <c r="D31" s="26">
        <f>IF(ISNUMBER(D20),D20*132,IF(ISNUMBER(D19),D19*132,"n/a"))</f>
        <v/>
      </c>
      <c r="E31" s="26">
        <f>IF(ISNUMBER(E20),E20*132,IF(ISNUMBER(E19),E19*132,"n/a"))</f>
        <v/>
      </c>
      <c r="F31" s="26">
        <f>IF(ISNUMBER(F20),F20*132,IF(ISNUMBER(F19),F19*132,"n/a"))</f>
        <v/>
      </c>
      <c r="G31" s="26">
        <f>IF(ISNUMBER(G20),G20*132,IF(ISNUMBER(G19),G19*132,"n/a"))</f>
        <v/>
      </c>
      <c r="H31" s="26">
        <f>IF(ISNUMBER(H20),H20*132,IF(ISNUMBER(H19),H19*132,"n/a"))</f>
        <v/>
      </c>
      <c r="I31" s="26">
        <f>IF(ISNUMBER(I20),I20*132,IF(ISNUMBER(I19),I19*132,"n/a"))</f>
        <v/>
      </c>
    </row>
    <row r="32">
      <c r="A32" s="18" t="inlineStr">
        <is>
          <t>Cost of the 132 LEDs at JLCPCB price (USD)</t>
        </is>
      </c>
      <c r="B32" s="26">
        <f>IF(ISNUMBER(B27),B27*132,"n/a")</f>
        <v/>
      </c>
      <c r="C32" s="26">
        <f>IF(ISNUMBER(C27),C27*132,"n/a")</f>
        <v/>
      </c>
      <c r="D32" s="26">
        <f>IF(ISNUMBER(D27),D27*132,"n/a")</f>
        <v/>
      </c>
      <c r="E32" s="26">
        <f>IF(ISNUMBER(E27),E27*132,"n/a")</f>
        <v/>
      </c>
      <c r="F32" s="26">
        <f>IF(ISNUMBER(F27),F27*132,"n/a")</f>
        <v/>
      </c>
      <c r="G32" s="26">
        <f>IF(ISNUMBER(G27),G27*132,"n/a")</f>
        <v/>
      </c>
      <c r="H32" s="26">
        <f>IF(ISNUMBER(H27),H27*132,"n/a")</f>
        <v/>
      </c>
      <c r="I32" s="26">
        <f>IF(ISNUMBER(I27),I27*132,"n/a")</f>
        <v/>
      </c>
    </row>
    <row r="33">
      <c r="A33" s="18" t="inlineStr">
        <is>
          <t>Lowest battery voltage at which it lights (Vf + pin drop)</t>
        </is>
      </c>
      <c r="B33" s="28">
        <f>IF(ISNUMBER(B12),B12+Inputs!$B$12,"n/a")</f>
        <v/>
      </c>
      <c r="C33" s="28">
        <f>IF(ISNUMBER(C12),C12+Inputs!$B$12,"n/a")</f>
        <v/>
      </c>
      <c r="D33" s="28">
        <f>IF(ISNUMBER(D12),D12+Inputs!$B$12,"n/a")</f>
        <v/>
      </c>
      <c r="E33" s="28">
        <f>IF(ISNUMBER(E12),E12+Inputs!$B$12,"n/a")</f>
        <v/>
      </c>
      <c r="F33" s="28">
        <f>IF(ISNUMBER(F12),F12+Inputs!$B$12,"n/a")</f>
        <v/>
      </c>
      <c r="G33" s="28">
        <f>IF(ISNUMBER(G12),G12+Inputs!$B$12,"n/a")</f>
        <v/>
      </c>
      <c r="H33" s="28">
        <f>IF(ISNUMBER(H12),H12+Inputs!$B$12,"n/a")</f>
        <v/>
      </c>
      <c r="I33" s="28">
        <f>IF(ISNUMBER(I12),I12+Inputs!$B$12,"n/a")</f>
        <v/>
      </c>
    </row>
    <row r="34" ht="118" customHeight="1">
      <c r="A34" s="18" t="inlineStr">
        <is>
          <t>Shortcomings</t>
        </is>
      </c>
      <c r="B34" s="29" t="inlineStr">
        <is>
          <t>Tiny: hardest to place and rework. DigiKey sells it only as a 5,000-piece reel (marketplace, ships from the maker). 185 mcd at 5 mA is dim at the 0.3 mA we plan to use. Only ~8,000 at JLCPCB (Extended part: extra fee).</t>
        </is>
      </c>
      <c r="C34" s="29" t="inlineStr">
        <is>
          <t>DigiKey: reel of 5,000 only (marketplace). JLCPCB has two listings of this part number; the other (C965796) shows 0 stock. Datasheet brightness spread is wide (350-1000 mcd at 20 mA); the DigiKey page says 690.</t>
        </is>
      </c>
      <c r="D34" s="29" t="inlineStr">
        <is>
          <t>Not on DigiKey (JLCPCB/LCSC only). Brightness varies a lot unit to unit (145-360 mcd at 5 mA; JLCPCB lists up to 360). Vf range 2.6-3.1 V. Height is an estimate.</t>
        </is>
      </c>
      <c r="E34" s="29" t="inlineStr">
        <is>
          <t>About 25x the price of the Kento 0603 ($0.31 vs ~$0.012). Only 2,053 in stock, 12-week lead time. Test current for the 120 mcd rating is not confirmed.</t>
        </is>
      </c>
      <c r="F34" s="29" t="inlineStr">
        <is>
          <t>Not on DigiKey. Conflicting brightness data: the datasheet says 145-360 mcd at 5 mA, JLCPCB's listing says 350 mcd at 25 mA. The 0805 is the largest ring part, so it sets the board size.</t>
        </is>
      </c>
      <c r="G34" s="29" t="inlineStr">
        <is>
          <t>Highest forward voltage (3.3 V): on a LiPo it needs ~3.6 V before it lights at all, so it goes dark long before the battery is empty. ~12x the price of the Kento 0805.</t>
        </is>
      </c>
      <c r="H34" s="29" t="inlineStr">
        <is>
          <t>Obsolete at DigiKey. Zero stock at JLCPCB. 0.3 mm pads on a 0.5 mm pitch cannot be hand-soldered. Vf R 1.9 / G 2.5 / B 2.5 V.</t>
        </is>
      </c>
      <c r="I34" s="29" t="inlineStr">
        <is>
          <t>Common-anode (the first design is common-cathode), so matrix drive polarity must be reversed. Vf up to 3.5 V for green/blue. Same 0.5 mm pad pitch: still needs a fab to place.</t>
        </is>
      </c>
    </row>
    <row r="35" ht="62" customHeight="1">
      <c r="A35" s="18" t="inlineStr">
        <is>
          <t>How well verified</t>
        </is>
      </c>
      <c r="B35" s="30" t="inlineStr">
        <is>
          <t>DigiKey page VERIFIED (price, stock, Vf 2.7 V, 185 mcd). 5 mA test current from a search summary. Height 0.65 mm UNVERIFIED.</t>
        </is>
      </c>
      <c r="C35" s="30" t="inlineStr">
        <is>
          <t>DigiKey and JLCPCB pages VERIFIED. Datasheet range from the earlier research report (LCSC PDF).</t>
        </is>
      </c>
      <c r="D35" s="30" t="inlineStr">
        <is>
          <t>JLCPCB page VERIFIED (stock, price, Basic). Vf/brightness from the JLCPCB listing and the earlier research report. Height ESTIMATE.</t>
        </is>
      </c>
      <c r="E35" s="30" t="inlineStr">
        <is>
          <t>DigiKey page VERIFIED (price, stock, 2.9 V, 120 mcd). Test current 20 mA is an ESTIMATE; height ESTIMATE.</t>
        </is>
      </c>
      <c r="F35" s="30" t="inlineStr">
        <is>
          <t>JLCPCB page VERIFIED (stock, price, Basic). Brightness conflict flagged. Height ESTIMATE.</t>
        </is>
      </c>
      <c r="G35" s="30" t="inlineStr">
        <is>
          <t>DigiKey page VERIFIED (price, stock, 3.3 V, 281 mcd, datasheet link). Test current 20 mA and height are ESTIMATES.</t>
        </is>
      </c>
      <c r="H35" s="30" t="inlineStr">
        <is>
          <t>DigiKey page VERIFIED on 2026-10-06 (20,772 in stock). JLCPCB stock 0 as of 2026-10-05. Test current ~5.2 mA from the part alias (UNVERIFIED).</t>
        </is>
      </c>
      <c r="I35" s="30" t="inlineStr">
        <is>
          <t>JLCPCB page VERIFIED (stock, price). Datasheet figures from the earlier JLCPCB research report.</t>
        </is>
      </c>
    </row>
  </sheetData>
  <mergeCells count="1">
    <mergeCell ref="A2:I2"/>
  </mergeCells>
  <hyperlinks>
    <hyperlink xmlns:r="http://schemas.openxmlformats.org/officeDocument/2006/relationships" ref="B23" r:id="rId1"/>
    <hyperlink xmlns:r="http://schemas.openxmlformats.org/officeDocument/2006/relationships" ref="C23" r:id="rId2"/>
    <hyperlink xmlns:r="http://schemas.openxmlformats.org/officeDocument/2006/relationships" ref="E23" r:id="rId3"/>
    <hyperlink xmlns:r="http://schemas.openxmlformats.org/officeDocument/2006/relationships" ref="G23" r:id="rId4"/>
    <hyperlink xmlns:r="http://schemas.openxmlformats.org/officeDocument/2006/relationships" ref="H23" r:id="rId5"/>
    <hyperlink xmlns:r="http://schemas.openxmlformats.org/officeDocument/2006/relationships" ref="B28" r:id="rId6"/>
    <hyperlink xmlns:r="http://schemas.openxmlformats.org/officeDocument/2006/relationships" ref="C28" r:id="rId7"/>
    <hyperlink xmlns:r="http://schemas.openxmlformats.org/officeDocument/2006/relationships" ref="D28" r:id="rId8"/>
    <hyperlink xmlns:r="http://schemas.openxmlformats.org/officeDocument/2006/relationships" ref="F28" r:id="rId9"/>
    <hyperlink xmlns:r="http://schemas.openxmlformats.org/officeDocument/2006/relationships" ref="H28" r:id="rId10"/>
    <hyperlink xmlns:r="http://schemas.openxmlformats.org/officeDocument/2006/relationships" ref="I28" r:id="rId11"/>
    <hyperlink xmlns:r="http://schemas.openxmlformats.org/officeDocument/2006/relationships" ref="B29" r:id="rId12"/>
    <hyperlink xmlns:r="http://schemas.openxmlformats.org/officeDocument/2006/relationships" ref="C29" r:id="rId13"/>
    <hyperlink xmlns:r="http://schemas.openxmlformats.org/officeDocument/2006/relationships" ref="D29" r:id="rId14"/>
    <hyperlink xmlns:r="http://schemas.openxmlformats.org/officeDocument/2006/relationships" ref="E29" r:id="rId15"/>
    <hyperlink xmlns:r="http://schemas.openxmlformats.org/officeDocument/2006/relationships" ref="F29" r:id="rId16"/>
    <hyperlink xmlns:r="http://schemas.openxmlformats.org/officeDocument/2006/relationships" ref="G29" r:id="rId17"/>
    <hyperlink xmlns:r="http://schemas.openxmlformats.org/officeDocument/2006/relationships" ref="H29" r:id="rId18"/>
    <hyperlink xmlns:r="http://schemas.openxmlformats.org/officeDocument/2006/relationships" ref="I29" r:id="rId1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44" customWidth="1" min="2" max="2"/>
    <col width="44" customWidth="1" min="3" max="3"/>
    <col width="44" customWidth="1" min="4" max="4"/>
  </cols>
  <sheetData>
    <row r="1">
      <c r="A1" s="1" t="inlineStr">
        <is>
          <t>Motion sensors: the two being compared, plus a backup</t>
        </is>
      </c>
    </row>
    <row r="2" ht="32" customHeight="1">
      <c r="A2" s="3" t="inlineStr">
        <is>
          <t>Checked 2026-10-08. A gravity / tilt game only needs an accelerometer; the gyroscope in the BMI270 is not needed for it. Currents are at the supply voltages in the datasheets (BMI270 table: VDD = 1.8 V), so real values at 3.3 V are a little different.</t>
        </is>
      </c>
    </row>
    <row r="3"/>
    <row r="4" ht="34" customHeight="1">
      <c r="A4" s="17" t="inlineStr">
        <is>
          <t>Attribute</t>
        </is>
      </c>
      <c r="B4" s="17" t="inlineStr">
        <is>
          <t>BMI270 (Bosch, 6-axis IMU)</t>
        </is>
      </c>
      <c r="C4" s="17" t="inlineStr">
        <is>
          <t>BMA400 (Bosch, accelerometer)</t>
        </is>
      </c>
      <c r="D4" s="17" t="inlineStr">
        <is>
          <t>LIS2DW12 (ST, accelerometer) - CURRENT PICK</t>
        </is>
      </c>
    </row>
    <row r="5">
      <c r="A5" s="18" t="inlineStr">
        <is>
          <t>Type</t>
        </is>
      </c>
      <c r="B5" s="19" t="inlineStr">
        <is>
          <t>6-axis IMU (accelerometer + gyroscope)</t>
        </is>
      </c>
      <c r="C5" s="19" t="inlineStr">
        <is>
          <t>3-axis accelerometer (no gyroscope)</t>
        </is>
      </c>
      <c r="D5" s="19" t="inlineStr">
        <is>
          <t>3-axis accelerometer (no gyroscope)</t>
        </is>
      </c>
    </row>
    <row r="6">
      <c r="A6" s="18" t="inlineStr">
        <is>
          <t>Package / body (mm)</t>
        </is>
      </c>
      <c r="B6" s="19" t="inlineStr">
        <is>
          <t>LGA-14, 2.5 x 3.0 x 0.83</t>
        </is>
      </c>
      <c r="C6" s="19" t="inlineStr">
        <is>
          <t>LGA-12, 2.0 x 2.0 x 0.95</t>
        </is>
      </c>
      <c r="D6" s="19" t="inlineStr">
        <is>
          <t>LGA-12, 2.0 x 2.0 x 0.7 max</t>
        </is>
      </c>
    </row>
    <row r="7">
      <c r="A7" s="18" t="inlineStr">
        <is>
          <t>KiCad courtyard width (mm)</t>
        </is>
      </c>
      <c r="B7" s="31" t="n">
        <v>3.79</v>
      </c>
      <c r="C7" s="31" t="n">
        <v>2.59</v>
      </c>
      <c r="D7" s="31" t="n">
        <v>2.59</v>
      </c>
    </row>
    <row r="8">
      <c r="A8" s="18" t="inlineStr">
        <is>
          <t>KiCad courtyard height (mm)</t>
        </is>
      </c>
      <c r="B8" s="31" t="n">
        <v>3.29</v>
      </c>
      <c r="C8" s="31" t="n">
        <v>2.59</v>
      </c>
      <c r="D8" s="31" t="n">
        <v>2.59</v>
      </c>
    </row>
    <row r="9">
      <c r="A9" s="18" t="inlineStr">
        <is>
          <t>Supply range</t>
        </is>
      </c>
      <c r="B9" s="19" t="inlineStr">
        <is>
          <t>VDD 1.71-3.6 V</t>
        </is>
      </c>
      <c r="C9" s="19" t="inlineStr">
        <is>
          <t>VDD 1.71-3.6 V (DigiKey page)</t>
        </is>
      </c>
      <c r="D9" s="19" t="inlineStr">
        <is>
          <t>VDD 1.62-3.6 V, separate VDD_IO 1.62 V to VDD+0.1 V</t>
        </is>
      </c>
    </row>
    <row r="10" ht="44" customHeight="1">
      <c r="A10" s="18" t="inlineStr">
        <is>
          <t>Needs a configuration file loaded at every power-up?</t>
        </is>
      </c>
      <c r="B10" s="19" t="inlineStr">
        <is>
          <t>YES: an 8 KB file every power-up (about 6.6 ms at 10 MHz SPI, then up to 20 ms wait)</t>
        </is>
      </c>
      <c r="C10" s="19" t="inlineStr">
        <is>
          <t>No (boots by itself)</t>
        </is>
      </c>
      <c r="D10" s="19" t="inlineStr">
        <is>
          <t>No (boots by itself)</t>
        </is>
      </c>
    </row>
    <row r="11" ht="44" customHeight="1">
      <c r="A11" s="18" t="inlineStr">
        <is>
          <t>Built-in features</t>
        </is>
      </c>
      <c r="B11" s="19" t="inlineStr">
        <is>
          <t>Wrist-wear wake-up, wrist gesture, any-motion, no-motion, significant motion, step counting</t>
        </is>
      </c>
      <c r="C11" s="19" t="inlineStr">
        <is>
          <t>Wake-up, activity change, orientation, tap, step counter</t>
        </is>
      </c>
      <c r="D11" s="19" t="inlineStr">
        <is>
          <t>Wake-up, activity/inactivity, free-fall, 6D/4D orientation, single/double tap, stationary/motion detect, 32-level FIFO, temperature sensor</t>
        </is>
      </c>
    </row>
    <row r="12">
      <c r="A12" s="18" t="inlineStr">
        <is>
          <t>Sleep / suspend current (uA)</t>
        </is>
      </c>
      <c r="B12" s="20" t="n">
        <v>3.5</v>
      </c>
      <c r="C12" s="20" t="n">
        <v>0.16</v>
      </c>
      <c r="D12" s="20" t="n">
        <v>0.05</v>
      </c>
    </row>
    <row r="13">
      <c r="A13" s="18" t="inlineStr">
        <is>
          <t>Waiting for motion, lowest-power mode (uA)</t>
        </is>
      </c>
      <c r="B13" s="20" t="n">
        <v>10</v>
      </c>
      <c r="C13" s="20" t="n">
        <v>0.85</v>
      </c>
      <c r="D13" s="20" t="n">
        <v>1</v>
      </c>
    </row>
    <row r="14">
      <c r="A14" s="18" t="inlineStr">
        <is>
          <t>Wake-on-motion total used in the model (uA)</t>
        </is>
      </c>
      <c r="B14" s="20" t="n">
        <v>13</v>
      </c>
      <c r="C14" s="20" t="n">
        <v>0.85</v>
      </c>
      <c r="D14" s="20" t="n">
        <v>1</v>
      </c>
    </row>
    <row r="15">
      <c r="A15" s="18" t="inlineStr">
        <is>
          <t>Running a game, accelerometer only (uA)</t>
        </is>
      </c>
      <c r="B15" s="20" t="n">
        <v>210</v>
      </c>
      <c r="C15" s="20" t="n">
        <v>14.5</v>
      </c>
      <c r="D15" s="21" t="n">
        <v>5</v>
      </c>
    </row>
    <row r="16">
      <c r="A16" s="18" t="inlineStr">
        <is>
          <t>Running a game, accelerometer + gyroscope (uA)</t>
        </is>
      </c>
      <c r="B16" s="20" t="n">
        <v>685</v>
      </c>
      <c r="C16" s="21" t="inlineStr">
        <is>
          <t>n/a</t>
        </is>
      </c>
      <c r="D16" s="21" t="inlineStr">
        <is>
          <t>n/a</t>
        </is>
      </c>
    </row>
    <row r="17">
      <c r="A17" s="18" t="inlineStr">
        <is>
          <t>DigiKey part number</t>
        </is>
      </c>
      <c r="B17" s="19" t="inlineStr">
        <is>
          <t>828-1091-2-ND</t>
        </is>
      </c>
      <c r="C17" s="19" t="inlineStr">
        <is>
          <t>828-1081-2-ND</t>
        </is>
      </c>
      <c r="D17" s="19" t="inlineStr">
        <is>
          <t>497-17718-2-ND</t>
        </is>
      </c>
    </row>
    <row r="18">
      <c r="A18" s="18" t="inlineStr">
        <is>
          <t>DigiKey stock (US)</t>
        </is>
      </c>
      <c r="B18" s="24" t="n">
        <v>50792</v>
      </c>
      <c r="C18" s="24" t="n">
        <v>0</v>
      </c>
      <c r="D18" s="24" t="n">
        <v>0</v>
      </c>
    </row>
    <row r="19">
      <c r="A19" s="18" t="inlineStr">
        <is>
          <t>DigiKey price at 1 (USD)</t>
        </is>
      </c>
      <c r="B19" s="32" t="n">
        <v>4.23</v>
      </c>
      <c r="C19" s="32" t="n">
        <v>2.48</v>
      </c>
      <c r="D19" s="32" t="n">
        <v>1.38</v>
      </c>
    </row>
    <row r="20">
      <c r="A20" s="18" t="inlineStr">
        <is>
          <t>DigiKey lead time</t>
        </is>
      </c>
      <c r="B20" s="19" t="inlineStr">
        <is>
          <t>16 weeks</t>
        </is>
      </c>
      <c r="C20" s="19" t="inlineStr">
        <is>
          <t>16 weeks</t>
        </is>
      </c>
      <c r="D20" s="19" t="inlineStr">
        <is>
          <t>20 weeks</t>
        </is>
      </c>
    </row>
    <row r="21">
      <c r="A21" s="18" t="inlineStr">
        <is>
          <t>DigiKey link</t>
        </is>
      </c>
      <c r="B21" s="27" t="inlineStr">
        <is>
          <t>link</t>
        </is>
      </c>
      <c r="C21" s="27" t="inlineStr">
        <is>
          <t>link</t>
        </is>
      </c>
      <c r="D21" s="27" t="inlineStr">
        <is>
          <t>link</t>
        </is>
      </c>
    </row>
    <row r="22">
      <c r="A22" s="18" t="inlineStr">
        <is>
          <t>JLCPCB / LCSC part</t>
        </is>
      </c>
      <c r="B22" s="19" t="inlineStr">
        <is>
          <t>C2836813</t>
        </is>
      </c>
      <c r="C22" s="19" t="inlineStr">
        <is>
          <t>not checked</t>
        </is>
      </c>
      <c r="D22" s="19" t="inlineStr">
        <is>
          <t>C189624</t>
        </is>
      </c>
    </row>
    <row r="23">
      <c r="A23" s="18" t="inlineStr">
        <is>
          <t>JLCPCB library type</t>
        </is>
      </c>
      <c r="B23" s="19" t="inlineStr">
        <is>
          <t>Extended</t>
        </is>
      </c>
      <c r="C23" s="19" t="inlineStr">
        <is>
          <t>-</t>
        </is>
      </c>
      <c r="D23" s="19" t="inlineStr">
        <is>
          <t>Extended</t>
        </is>
      </c>
    </row>
    <row r="24">
      <c r="A24" s="18" t="inlineStr">
        <is>
          <t>JLCPCB stock</t>
        </is>
      </c>
      <c r="B24" s="24" t="n">
        <v>7628</v>
      </c>
      <c r="C24" s="21" t="inlineStr">
        <is>
          <t>n/a</t>
        </is>
      </c>
      <c r="D24" s="24" t="n">
        <v>19750</v>
      </c>
    </row>
    <row r="25">
      <c r="A25" s="18" t="inlineStr">
        <is>
          <t>JLCPCB price at low quantity (USD)</t>
        </is>
      </c>
      <c r="B25" s="32" t="n">
        <v>2.64</v>
      </c>
      <c r="C25" s="21" t="inlineStr">
        <is>
          <t>n/a</t>
        </is>
      </c>
      <c r="D25" s="32" t="n">
        <v>1.19</v>
      </c>
    </row>
    <row r="26">
      <c r="A26" s="18" t="inlineStr">
        <is>
          <t>JLCPCB link</t>
        </is>
      </c>
      <c r="B26" s="27" t="inlineStr">
        <is>
          <t>link</t>
        </is>
      </c>
      <c r="C26" s="19" t="inlineStr">
        <is>
          <t>-</t>
        </is>
      </c>
      <c r="D26" s="27" t="inlineStr">
        <is>
          <t>link</t>
        </is>
      </c>
    </row>
    <row r="27">
      <c r="A27" s="18" t="inlineStr">
        <is>
          <t>Datasheet</t>
        </is>
      </c>
      <c r="B27" s="27" t="inlineStr">
        <is>
          <t>link</t>
        </is>
      </c>
      <c r="C27" s="27" t="inlineStr">
        <is>
          <t>link</t>
        </is>
      </c>
      <c r="D27" s="27" t="inlineStr">
        <is>
          <t>link</t>
        </is>
      </c>
    </row>
    <row r="28">
      <c r="A28" s="18" t="inlineStr">
        <is>
          <t>Status</t>
        </is>
      </c>
      <c r="B28" s="19" t="inlineStr">
        <is>
          <t>Active</t>
        </is>
      </c>
      <c r="C28" s="19" t="inlineStr">
        <is>
          <t>Active</t>
        </is>
      </c>
      <c r="D28" s="19" t="inlineStr">
        <is>
          <t>Active</t>
        </is>
      </c>
    </row>
    <row r="29" ht="105" customHeight="1">
      <c r="A29" s="18" t="inlineStr">
        <is>
          <t>Shortcomings</t>
        </is>
      </c>
      <c r="B29" s="29" t="inlineStr">
        <is>
          <t>Wake mode costs ~13 uA all day (~1 mWh/day, about half the whole watch). Needs the 8 KB config upload at every power-up. 0.5 mm 14-pad LGA: the biggest sensor footprint. Costs ~$4 each.</t>
        </is>
      </c>
      <c r="C29" s="29" t="inlineStr">
        <is>
          <t>ZERO stock at DigiKey US on every listing (checked three). No gyroscope, so no rotation games. Not checked at JLCPCB. No built-in wrist-gesture classifier: raise-to-wake needs more firmware.</t>
        </is>
      </c>
      <c r="D29" s="29" t="inlineStr">
        <is>
          <t>Zero stock at DigiKey US (20-week lead time), but 19,712 at JLCPCB for $1.19. Datasheet DS11811 rev 9 is saved in datasheets/. Interrupt output only reaches VDD_IO - 0.2 V (~3.1 V): the MCU input must be set to TTL level. Low-power-mode figures are at 1.8 V.</t>
        </is>
      </c>
    </row>
    <row r="30" ht="62" customHeight="1">
      <c r="A30" s="18" t="inlineStr">
        <is>
          <t>How well verified</t>
        </is>
      </c>
      <c r="B30" s="30" t="inlineStr">
        <is>
          <t>Datasheet currents VERIFIED (BST-BMI270-DS000-08, Table 6 and electrical table). DigiKey and JLCPCB pages VERIFIED.</t>
        </is>
      </c>
      <c r="C30" s="30" t="inlineStr">
        <is>
          <t>Currents VERIFIED by the earlier research (BST-BMA400-DS000-09). DigiKey pages VERIFIED today (stock 0, $2.48).</t>
        </is>
      </c>
      <c r="D30" s="30" t="inlineStr">
        <is>
          <t>VERIFIED: ST datasheet DS11811 rev 9 (Table 4: 50 nA power-down, 1 uA @12.5 Hz, 0.38 uA @1.6 Hz, 5 uA @100 Hz low-power mode 1, 90 uA high-performance). DigiKey/JLCPCB pages VERIFIED.</t>
        </is>
      </c>
    </row>
  </sheetData>
  <mergeCells count="1">
    <mergeCell ref="A2:D2"/>
  </mergeCells>
  <hyperlinks>
    <hyperlink xmlns:r="http://schemas.openxmlformats.org/officeDocument/2006/relationships" ref="B21" r:id="rId1"/>
    <hyperlink xmlns:r="http://schemas.openxmlformats.org/officeDocument/2006/relationships" ref="C21" r:id="rId2"/>
    <hyperlink xmlns:r="http://schemas.openxmlformats.org/officeDocument/2006/relationships" ref="D21" r:id="rId3"/>
    <hyperlink xmlns:r="http://schemas.openxmlformats.org/officeDocument/2006/relationships" ref="B26" r:id="rId4"/>
    <hyperlink xmlns:r="http://schemas.openxmlformats.org/officeDocument/2006/relationships" ref="D26" r:id="rId5"/>
    <hyperlink xmlns:r="http://schemas.openxmlformats.org/officeDocument/2006/relationships" ref="B27" r:id="rId6"/>
    <hyperlink xmlns:r="http://schemas.openxmlformats.org/officeDocument/2006/relationships" ref="C27" r:id="rId7"/>
    <hyperlink xmlns:r="http://schemas.openxmlformats.org/officeDocument/2006/relationships" ref="D27"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4" customWidth="1" min="1" max="1"/>
    <col width="38" customWidth="1" min="2" max="2"/>
    <col width="38" customWidth="1" min="3" max="3"/>
    <col width="38" customWidth="1" min="4" max="4"/>
    <col width="38" customWidth="1" min="5" max="5"/>
  </cols>
  <sheetData>
    <row r="1">
      <c r="A1" s="1" t="inlineStr">
        <is>
          <t>Microcontroller comparison: one for the single-colour watch, one for the RGB watch</t>
        </is>
      </c>
    </row>
    <row r="2" ht="32" customHeight="1">
      <c r="A2" s="3" t="inlineStr">
        <is>
          <t>Pin counts, limits and pin maps are from the datasheets saved in datasheets/ (AVR128DB DS40002247B; ATmega169P doc8018P: the 169P edition, the PA edition could not be downloaded). Stock/price from JLCPCB 2026-10-08.</t>
        </is>
      </c>
    </row>
    <row r="3"/>
    <row r="4" ht="44" customHeight="1">
      <c r="A4" s="17" t="inlineStr">
        <is>
          <t>Attribute</t>
        </is>
      </c>
      <c r="B4" s="17" t="inlineStr">
        <is>
          <t>AVR128DB48 (single colour - CURRENT PICK)</t>
        </is>
      </c>
      <c r="C4" s="17" t="inlineStr">
        <is>
          <t>ATmega169PA (RGB - CURRENT PICK)</t>
        </is>
      </c>
      <c r="D4" s="17" t="inlineStr">
        <is>
          <t>AVR128DB64 (RGB alternative)</t>
        </is>
      </c>
      <c r="E4" s="17" t="inlineStr">
        <is>
          <t>ATmega1284P (single colour backup)</t>
        </is>
      </c>
    </row>
    <row r="5">
      <c r="A5" s="33" t="inlineStr">
        <is>
          <t>Package / body</t>
        </is>
      </c>
      <c r="B5" s="19" t="inlineStr">
        <is>
          <t>TQFP-48 7x7 (or VQFN-48 6x6)</t>
        </is>
      </c>
      <c r="C5" s="19" t="inlineStr">
        <is>
          <t>TQFP-64 14x14 (or QFN-64 9x9)</t>
        </is>
      </c>
      <c r="D5" s="19" t="inlineStr">
        <is>
          <t>QFN-64 9x9 (TQFP-64 10x10: 0 stock)</t>
        </is>
      </c>
      <c r="E5" s="19" t="inlineStr">
        <is>
          <t>TQFP-44 10x10</t>
        </is>
      </c>
    </row>
    <row r="6">
      <c r="A6" s="33" t="inlineStr">
        <is>
          <t>Usable GPIO after crystal/reset/programming pins</t>
        </is>
      </c>
      <c r="B6" s="34" t="n">
        <v>38</v>
      </c>
      <c r="C6" s="34" t="n">
        <v>53</v>
      </c>
      <c r="D6" s="34" t="n">
        <v>53</v>
      </c>
      <c r="E6" s="34" t="n">
        <v>32</v>
      </c>
    </row>
    <row r="7">
      <c r="A7" s="33" t="inlineStr">
        <is>
          <t>GPIO this watch needs (matrix + extras)</t>
        </is>
      </c>
      <c r="B7" s="34" t="n">
        <v>29</v>
      </c>
      <c r="C7" s="34" t="n">
        <v>48</v>
      </c>
      <c r="D7" s="34" t="n">
        <v>48</v>
      </c>
      <c r="E7" s="34" t="n">
        <v>29</v>
      </c>
    </row>
    <row r="8">
      <c r="A8" s="33" t="inlineStr">
        <is>
          <t>Spare GPIO</t>
        </is>
      </c>
      <c r="B8" s="35">
        <f>B6-B7</f>
        <v/>
      </c>
      <c r="C8" s="35">
        <f>C6-C7</f>
        <v/>
      </c>
      <c r="D8" s="35">
        <f>D6-D7</f>
        <v/>
      </c>
      <c r="E8" s="35">
        <f>E6-E7</f>
        <v/>
      </c>
    </row>
    <row r="9">
      <c r="A9" s="33" t="inlineStr">
        <is>
          <t>Sink current guaranteed per pin at 3 V (mA)</t>
        </is>
      </c>
      <c r="B9" s="34" t="n">
        <v>10</v>
      </c>
      <c r="C9" s="19" t="inlineStr">
        <is>
          <t>5 (Port B: 10)</t>
        </is>
      </c>
      <c r="D9" s="34" t="n">
        <v>10</v>
      </c>
      <c r="E9" s="19" t="inlineStr">
        <is>
          <t>n/a (not read)</t>
        </is>
      </c>
    </row>
    <row r="10">
      <c r="A10" s="33" t="inlineStr">
        <is>
          <t>Source current guaranteed per pin at 3 V (mA)</t>
        </is>
      </c>
      <c r="B10" s="34" t="n">
        <v>6</v>
      </c>
      <c r="C10" s="19" t="inlineStr">
        <is>
          <t>5 (Port B: 10)</t>
        </is>
      </c>
      <c r="D10" s="34" t="n">
        <v>6</v>
      </c>
      <c r="E10" s="19" t="inlineStr">
        <is>
          <t>n/a (not read)</t>
        </is>
      </c>
    </row>
    <row r="11">
      <c r="A11" s="33" t="inlineStr">
        <is>
          <t>Absolute maximum per pin (mA)</t>
        </is>
      </c>
      <c r="B11" s="34" t="n">
        <v>50</v>
      </c>
      <c r="C11" s="34" t="n">
        <v>40</v>
      </c>
      <c r="D11" s="34" t="n">
        <v>50</v>
      </c>
      <c r="E11" s="19" t="inlineStr">
        <is>
          <t>n/a (not read)</t>
        </is>
      </c>
    </row>
    <row r="12">
      <c r="A12" s="33" t="inlineStr">
        <is>
          <t>Sleep with 32 kHz crystal running (uA, typ)</t>
        </is>
      </c>
      <c r="B12" s="19" t="inlineStr">
        <is>
          <t>about 3 (0.65 power-down + ~2.1 RTC)</t>
        </is>
      </c>
      <c r="C12" s="34" t="n">
        <v>0.8</v>
      </c>
      <c r="D12" s="19" t="inlineStr">
        <is>
          <t>about 3</t>
        </is>
      </c>
      <c r="E12" s="19" t="inlineStr">
        <is>
          <t>n/a (not read)</t>
        </is>
      </c>
    </row>
    <row r="13">
      <c r="A13" s="33" t="inlineStr">
        <is>
          <t>Programming</t>
        </is>
      </c>
      <c r="B13" s="19" t="inlineStr">
        <is>
          <t>UPDI (1 pin)</t>
        </is>
      </c>
      <c r="C13" s="19" t="inlineStr">
        <is>
          <t>ISP/JTAG (shares row pins)</t>
        </is>
      </c>
      <c r="D13" s="19" t="inlineStr">
        <is>
          <t>UPDI</t>
        </is>
      </c>
      <c r="E13" s="19" t="inlineStr">
        <is>
          <t>ISP</t>
        </is>
      </c>
    </row>
    <row r="14">
      <c r="A14" s="33" t="inlineStr">
        <is>
          <t>Max clock at 3-4.2 V</t>
        </is>
      </c>
      <c r="B14" s="19" t="inlineStr">
        <is>
          <t>24 MHz</t>
        </is>
      </c>
      <c r="C14" s="19" t="inlineStr">
        <is>
          <t>8 MHz</t>
        </is>
      </c>
      <c r="D14" s="19" t="inlineStr">
        <is>
          <t>24 MHz</t>
        </is>
      </c>
      <c r="E14" s="19" t="inlineStr">
        <is>
          <t>n/a (not read)</t>
        </is>
      </c>
    </row>
    <row r="15">
      <c r="A15" s="33" t="inlineStr">
        <is>
          <t>32 kHz crystal pins</t>
        </is>
      </c>
      <c r="B15" s="19" t="inlineStr">
        <is>
          <t>PF0/PF1 (GPIO lost)</t>
        </is>
      </c>
      <c r="C15" s="19" t="inlineStr">
        <is>
          <t>pins 23/24 (dedicated XTAL1/XTAL2)</t>
        </is>
      </c>
      <c r="D15" s="19" t="inlineStr">
        <is>
          <t>PF0/PF1</t>
        </is>
      </c>
      <c r="E15" s="19" t="inlineStr">
        <is>
          <t>n/a (not read)</t>
        </is>
      </c>
    </row>
    <row r="16">
      <c r="A16" s="33" t="inlineStr">
        <is>
          <t>Pin-change / wake limits</t>
        </is>
      </c>
      <c r="B16" s="19" t="inlineStr">
        <is>
          <t>any pin (LEVEL or BOTHEDGES)</t>
        </is>
      </c>
      <c r="C16" s="19" t="inlineStr">
        <is>
          <t>PB, PE (PCINT) and PD1 (INT0) only</t>
        </is>
      </c>
      <c r="D16" s="19" t="inlineStr">
        <is>
          <t>any pin</t>
        </is>
      </c>
      <c r="E16" s="19" t="inlineStr">
        <is>
          <t>n/a (not read)</t>
        </is>
      </c>
    </row>
    <row r="17" ht="62" customHeight="1">
      <c r="A17" s="33" t="inlineStr">
        <is>
          <t>Hazards found in the datasheet</t>
        </is>
      </c>
      <c r="B17" s="19" t="inlineStr">
        <is>
          <t>Port C powered from VDDIO2 (tie to VDD, set fuse); INT input needs TTL level</t>
        </is>
      </c>
      <c r="C17" s="19" t="inlineStr">
        <is>
          <t>JTAG fuse on at the factory (PF4-PF7); crystal must be on pins 23/24</t>
        </is>
      </c>
      <c r="D17" s="19" t="inlineStr">
        <is>
          <t>same as AVR128DB48</t>
        </is>
      </c>
      <c r="E17" s="19" t="inlineStr">
        <is>
          <t>not read</t>
        </is>
      </c>
    </row>
    <row r="18" ht="62" customHeight="1">
      <c r="A18" s="33" t="inlineStr">
        <is>
          <t>JLCPCB part / stock / price</t>
        </is>
      </c>
      <c r="B18" s="19" t="inlineStr">
        <is>
          <t>C1019766 / 60 / $5.38</t>
        </is>
      </c>
      <c r="C18" s="19" t="inlineStr">
        <is>
          <t>C9434 / 170 / $4.87 (also C507109 / 226 / $4.02)</t>
        </is>
      </c>
      <c r="D18" s="19" t="inlineStr">
        <is>
          <t>C1019767 / 11 / $5.55</t>
        </is>
      </c>
      <c r="E18" s="19" t="inlineStr">
        <is>
          <t>C33575 / 1,943 / $6.59</t>
        </is>
      </c>
    </row>
    <row r="19">
      <c r="A19" s="33" t="inlineStr">
        <is>
          <t>DigiKey stock</t>
        </is>
      </c>
      <c r="B19" s="19" t="inlineStr">
        <is>
          <t>217 (AVR128DB48-I/PT)</t>
        </is>
      </c>
      <c r="C19" s="19" t="inlineStr">
        <is>
          <t>not checked</t>
        </is>
      </c>
      <c r="D19" s="19" t="inlineStr">
        <is>
          <t>not checked</t>
        </is>
      </c>
      <c r="E19" s="19" t="inlineStr">
        <is>
          <t>not checked</t>
        </is>
      </c>
    </row>
    <row r="20" ht="62" customHeight="1">
      <c r="A20" s="33" t="inlineStr">
        <is>
          <t>Datasheet in folder</t>
        </is>
      </c>
      <c r="B20" s="19" t="inlineStr">
        <is>
          <t>yes: datasheets/AVR128DB28-32-48-64-DS40002247B.pdf</t>
        </is>
      </c>
      <c r="C20" s="19" t="inlineStr">
        <is>
          <t>169P edition only (PA not downloadable)</t>
        </is>
      </c>
      <c r="D20" s="19" t="inlineStr">
        <is>
          <t>same as AVR128DB48</t>
        </is>
      </c>
      <c r="E20" s="19" t="inlineStr">
        <is>
          <t>no</t>
        </is>
      </c>
    </row>
    <row r="21" ht="62" customHeight="1">
      <c r="A21" s="33" t="inlineStr">
        <is>
          <t>Why pick it / why not</t>
        </is>
      </c>
      <c r="B21" s="19" t="inlineStr">
        <is>
          <t>UPDI, 1 pin to program, low sleep, enough pins. Weakness: low JLCPCB stock (60).</t>
        </is>
      </c>
      <c r="C21" s="19" t="inlineStr">
        <is>
          <t>Low sleep (0.8 uA), JLCPCB stocked, same family as the first board. Weakness: 14x14 mm body, 5 mA/pin on most ports.</t>
        </is>
      </c>
      <c r="D21" s="19" t="inlineStr">
        <is>
          <t>Same family as the single-colour chip; stock only 11.</t>
        </is>
      </c>
      <c r="E21" s="19" t="inlineStr">
        <is>
          <t>Big body, almost no spare pins, ISP.</t>
        </is>
      </c>
    </row>
    <row r="22">
      <c r="A22" s="36" t="inlineStr">
        <is>
          <t>Row-pin check: single colour game mode (12 LEDs in one row, 'Power budget' tab uses the same peak current)</t>
        </is>
      </c>
    </row>
    <row r="23">
      <c r="A23" s="2" t="inlineStr">
        <is>
          <t>Peak current per lit LED (mA)</t>
        </is>
      </c>
      <c r="B23" s="28">
        <f>AVERAGE('LED types'!F5:F7)</f>
        <v/>
      </c>
    </row>
    <row r="24">
      <c r="A24" s="2" t="inlineStr">
        <is>
          <t>Sink current if all 12 LEDs of a row are lit at once (mA)</t>
        </is>
      </c>
      <c r="B24" s="37">
        <f>12*B23</f>
        <v/>
      </c>
    </row>
    <row r="25">
      <c r="A25" s="2" t="inlineStr">
        <is>
          <t>Guaranteed sink current per pin (mA)</t>
        </is>
      </c>
      <c r="B25" s="38">
        <f>B9</f>
        <v/>
      </c>
    </row>
    <row r="26">
      <c r="A26" s="2" t="inlineStr">
        <is>
          <t>Most LEDs per slot a pin can take (software scheduling)</t>
        </is>
      </c>
      <c r="B26" s="39">
        <f>MAX(1,INT(B25/B23))</f>
        <v/>
      </c>
    </row>
    <row r="27">
      <c r="A27" s="2" t="inlineStr">
        <is>
          <t>Verdict</t>
        </is>
      </c>
      <c r="B27" s="40">
        <f>IF(B24&lt;=B25,"OK without drivers","TOO MUCH for one pin: schedule "&amp;B26&amp;" LEDs per slot (dimmer game) or add row driver transistors")</f>
        <v/>
      </c>
    </row>
  </sheetData>
  <mergeCells count="2">
    <mergeCell ref="A2:E2"/>
    <mergeCell ref="B27:E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34" customWidth="1" min="2" max="2"/>
    <col width="34" customWidth="1" min="3" max="3"/>
    <col width="34" customWidth="1" min="4" max="4"/>
    <col width="34" customWidth="1" min="5" max="5"/>
  </cols>
  <sheetData>
    <row r="1">
      <c r="A1" s="1" t="inlineStr">
        <is>
          <t>Battery options (single-cell protected LiPo, wire leads, soldered to the back of the board)</t>
        </is>
      </c>
    </row>
    <row r="2" ht="36" customHeight="1">
      <c r="A2" s="3" t="inlineStr">
        <is>
          <t>Mouser prices/stock checked 2026-10-08. All four are Renata ICP cells (3.7 V). Runtime rows use the live load from the 'Power budget' tab, so they change when you change the inputs. Other cheaper LiPo cells exist (hobby vendors) but their protection circuits and dimensions are unverified.</t>
        </is>
      </c>
    </row>
    <row r="3"/>
    <row r="4" ht="34" customHeight="1">
      <c r="A4" s="17" t="inlineStr">
        <is>
          <t>Attribute</t>
        </is>
      </c>
      <c r="B4" s="17" t="inlineStr">
        <is>
          <t>Renata ICP341018PM (35 mAh)</t>
        </is>
      </c>
      <c r="C4" s="17" t="inlineStr">
        <is>
          <t>Renata ICP331319PM (50 mAh)</t>
        </is>
      </c>
      <c r="D4" s="17" t="inlineStr">
        <is>
          <t>Renata ICP501022UPM (80 mAh)</t>
        </is>
      </c>
      <c r="E4" s="17" t="inlineStr">
        <is>
          <t>Renata ICP402025PC-01 (155 mAh)</t>
        </is>
      </c>
    </row>
    <row r="5">
      <c r="A5" s="18" t="inlineStr">
        <is>
          <t>Manufacturer part number</t>
        </is>
      </c>
      <c r="B5" s="33" t="inlineStr">
        <is>
          <t>ICP341018PM</t>
        </is>
      </c>
      <c r="C5" s="33" t="inlineStr">
        <is>
          <t>ICP331319PM</t>
        </is>
      </c>
      <c r="D5" s="33" t="inlineStr">
        <is>
          <t>ICP501022UPM</t>
        </is>
      </c>
      <c r="E5" s="33" t="inlineStr">
        <is>
          <t>ICP402025PC-01</t>
        </is>
      </c>
    </row>
    <row r="6">
      <c r="A6" s="18" t="inlineStr">
        <is>
          <t>Capacity (mAh)</t>
        </is>
      </c>
      <c r="B6" s="22" t="n">
        <v>35</v>
      </c>
      <c r="C6" s="22" t="n">
        <v>50</v>
      </c>
      <c r="D6" s="22" t="n">
        <v>80</v>
      </c>
      <c r="E6" s="22" t="n">
        <v>155</v>
      </c>
    </row>
    <row r="7">
      <c r="A7" s="18" t="inlineStr">
        <is>
          <t>Nominal voltage (V)</t>
        </is>
      </c>
      <c r="B7" s="41" t="n">
        <v>3.7</v>
      </c>
      <c r="C7" s="41" t="n">
        <v>3.7</v>
      </c>
      <c r="D7" s="41" t="n">
        <v>3.7</v>
      </c>
      <c r="E7" s="41" t="n">
        <v>3.7</v>
      </c>
    </row>
    <row r="8">
      <c r="A8" s="18" t="inlineStr">
        <is>
          <t>Energy (mWh)</t>
        </is>
      </c>
      <c r="B8" s="9">
        <f>B6*B7</f>
        <v/>
      </c>
      <c r="C8" s="9">
        <f>C6*C7</f>
        <v/>
      </c>
      <c r="D8" s="9">
        <f>D6*D7</f>
        <v/>
      </c>
      <c r="E8" s="9">
        <f>E6*E7</f>
        <v/>
      </c>
    </row>
    <row r="9">
      <c r="A9" s="18" t="inlineStr">
        <is>
          <t>Length (mm)</t>
        </is>
      </c>
      <c r="B9" s="41" t="n">
        <v>19.5</v>
      </c>
      <c r="C9" s="41" t="n">
        <v>21</v>
      </c>
      <c r="D9" s="41" t="n">
        <v>24</v>
      </c>
      <c r="E9" s="41" t="n">
        <v>27.5</v>
      </c>
    </row>
    <row r="10">
      <c r="A10" s="18" t="inlineStr">
        <is>
          <t>Width (mm)</t>
        </is>
      </c>
      <c r="B10" s="41" t="n">
        <v>10.2</v>
      </c>
      <c r="C10" s="41" t="n">
        <v>12.8</v>
      </c>
      <c r="D10" s="41" t="n">
        <v>10</v>
      </c>
      <c r="E10" s="41" t="n">
        <v>20.5</v>
      </c>
    </row>
    <row r="11">
      <c r="A11" s="18" t="inlineStr">
        <is>
          <t>Thickness max (mm, includes swelling)</t>
        </is>
      </c>
      <c r="B11" s="41" t="n">
        <v>3.7</v>
      </c>
      <c r="C11" s="41" t="n">
        <v>3.7</v>
      </c>
      <c r="D11" s="41" t="n">
        <v>5.5</v>
      </c>
      <c r="E11" s="41" t="n">
        <v>4.3</v>
      </c>
    </row>
    <row r="12">
      <c r="A12" s="18" t="inlineStr">
        <is>
          <t>Footprint area (mm2)</t>
        </is>
      </c>
      <c r="B12" s="42">
        <f>B9*B10</f>
        <v/>
      </c>
      <c r="C12" s="42">
        <f>C9*C10</f>
        <v/>
      </c>
      <c r="D12" s="42">
        <f>D9*D10</f>
        <v/>
      </c>
      <c r="E12" s="42">
        <f>E9*E10</f>
        <v/>
      </c>
    </row>
    <row r="13">
      <c r="A13" s="18" t="inlineStr">
        <is>
          <t>Volume (cm3)</t>
        </is>
      </c>
      <c r="B13" s="28">
        <f>B12*B11/1000</f>
        <v/>
      </c>
      <c r="C13" s="28">
        <f>C12*C11/1000</f>
        <v/>
      </c>
      <c r="D13" s="28">
        <f>D12*D11/1000</f>
        <v/>
      </c>
      <c r="E13" s="28">
        <f>E12*E11/1000</f>
        <v/>
      </c>
    </row>
    <row r="14">
      <c r="A14" s="18" t="inlineStr">
        <is>
          <t>Energy density (mWh per cm3)</t>
        </is>
      </c>
      <c r="B14" s="42">
        <f>B8/B13</f>
        <v/>
      </c>
      <c r="C14" s="42">
        <f>C8/C13</f>
        <v/>
      </c>
      <c r="D14" s="42">
        <f>D8/D13</f>
        <v/>
      </c>
      <c r="E14" s="42">
        <f>E8/E13</f>
        <v/>
      </c>
    </row>
    <row r="15">
      <c r="A15" s="18" t="inlineStr">
        <is>
          <t>Diagonal (mm)</t>
        </is>
      </c>
      <c r="B15" s="37">
        <f>SQRT(B9^2+B10^2)</f>
        <v/>
      </c>
      <c r="C15" s="37">
        <f>SQRT(C9^2+C10^2)</f>
        <v/>
      </c>
      <c r="D15" s="37">
        <f>SQRT(D9^2+D10^2)</f>
        <v/>
      </c>
      <c r="E15" s="37">
        <f>SQRT(E9^2+E10^2)</f>
        <v/>
      </c>
    </row>
    <row r="16">
      <c r="A16" s="18" t="inlineStr">
        <is>
          <t>Weight (g)</t>
        </is>
      </c>
      <c r="B16" s="41" t="n">
        <v>1.7</v>
      </c>
      <c r="C16" s="41" t="n">
        <v>2</v>
      </c>
      <c r="D16" s="41" t="n">
        <v>2.6</v>
      </c>
      <c r="E16" s="41" t="n">
        <v>4</v>
      </c>
    </row>
    <row r="17">
      <c r="A17" s="18" t="inlineStr">
        <is>
          <t>Protection circuit</t>
        </is>
      </c>
      <c r="B17" s="19" t="inlineStr">
        <is>
          <t>Yes (safety circuit)</t>
        </is>
      </c>
      <c r="C17" s="19" t="inlineStr">
        <is>
          <t>Yes (safety circuit)</t>
        </is>
      </c>
      <c r="D17" s="19" t="inlineStr">
        <is>
          <t>Yes (IEC62133 per search excerpt)</t>
        </is>
      </c>
      <c r="E17" s="19" t="inlineStr">
        <is>
          <t>Yes (per datasheet excerpt)</t>
        </is>
      </c>
    </row>
    <row r="18" ht="30" customHeight="1">
      <c r="A18" s="18" t="inlineStr">
        <is>
          <t>Maximum charge current</t>
        </is>
      </c>
      <c r="B18" s="19" t="inlineStr">
        <is>
          <t>17.5 mA normal / 35 mA max (0.5C / 1C)</t>
        </is>
      </c>
      <c r="C18" s="19" t="inlineStr">
        <is>
          <t>25 mA normal / 50 mA max</t>
        </is>
      </c>
      <c r="D18" s="19" t="inlineStr">
        <is>
          <t>40 mA normal / 80 mA max</t>
        </is>
      </c>
      <c r="E18" s="19" t="inlineStr">
        <is>
          <t>155 mA max</t>
        </is>
      </c>
    </row>
    <row r="19">
      <c r="A19" s="18" t="inlineStr">
        <is>
          <t>Termination</t>
        </is>
      </c>
      <c r="B19" s="19" t="inlineStr">
        <is>
          <t>AWG30 wire leads</t>
        </is>
      </c>
      <c r="C19" s="19" t="inlineStr">
        <is>
          <t>AWG30 wire leads</t>
        </is>
      </c>
      <c r="D19" s="19" t="inlineStr">
        <is>
          <t>Wire leads</t>
        </is>
      </c>
      <c r="E19" s="19" t="inlineStr">
        <is>
          <t>PC-01 connector version</t>
        </is>
      </c>
    </row>
    <row r="20">
      <c r="A20" s="18" t="inlineStr">
        <is>
          <t>Temperature limits</t>
        </is>
      </c>
      <c r="B20" s="19" t="inlineStr">
        <is>
          <t>Charge 0 to 45 C</t>
        </is>
      </c>
      <c r="C20" s="19" t="inlineStr">
        <is>
          <t>Charge 0 to 45 C</t>
        </is>
      </c>
      <c r="D20" s="19" t="inlineStr">
        <is>
          <t>Charge 0 to 45 C</t>
        </is>
      </c>
      <c r="E20" s="19" t="inlineStr">
        <is>
          <t>Charge 0 to 45 C</t>
        </is>
      </c>
    </row>
    <row r="21">
      <c r="A21" s="18" t="inlineStr">
        <is>
          <t>Mouser part number</t>
        </is>
      </c>
      <c r="B21" s="19" t="inlineStr">
        <is>
          <t>614-ICP341018PM</t>
        </is>
      </c>
      <c r="C21" s="19" t="inlineStr">
        <is>
          <t>614-ICP331319PM</t>
        </is>
      </c>
      <c r="D21" s="19" t="inlineStr">
        <is>
          <t>614-ICP501022UPM</t>
        </is>
      </c>
      <c r="E21" s="19" t="inlineStr">
        <is>
          <t>614-ICP402025PC-01</t>
        </is>
      </c>
    </row>
    <row r="22">
      <c r="A22" s="18" t="inlineStr">
        <is>
          <t>Mouser stock</t>
        </is>
      </c>
      <c r="B22" s="24" t="n">
        <v>0</v>
      </c>
      <c r="C22" s="24" t="n">
        <v>0</v>
      </c>
      <c r="D22" s="24" t="n">
        <v>3</v>
      </c>
      <c r="E22" s="24" t="n">
        <v>0</v>
      </c>
    </row>
    <row r="23">
      <c r="A23" s="18" t="inlineStr">
        <is>
          <t>Mouser price at 1 (USD)</t>
        </is>
      </c>
      <c r="B23" s="32" t="n">
        <v>13.87</v>
      </c>
      <c r="C23" s="32" t="n">
        <v>12.21</v>
      </c>
      <c r="D23" s="32" t="n">
        <v>12.22</v>
      </c>
      <c r="E23" s="32" t="n">
        <v>12.84</v>
      </c>
    </row>
    <row r="24">
      <c r="A24" s="18" t="inlineStr">
        <is>
          <t>Mouser price at 100 (USD)</t>
        </is>
      </c>
      <c r="B24" s="32" t="n">
        <v>9.6</v>
      </c>
      <c r="C24" s="32" t="n">
        <v>8.460000000000001</v>
      </c>
      <c r="D24" s="32" t="n">
        <v>8.460000000000001</v>
      </c>
      <c r="E24" s="32" t="n">
        <v>8.890000000000001</v>
      </c>
    </row>
    <row r="25">
      <c r="A25" s="18" t="inlineStr">
        <is>
          <t>Mouser link</t>
        </is>
      </c>
      <c r="B25" s="27" t="inlineStr">
        <is>
          <t>Mouser page</t>
        </is>
      </c>
      <c r="C25" s="27" t="inlineStr">
        <is>
          <t>Mouser page</t>
        </is>
      </c>
      <c r="D25" s="27" t="inlineStr">
        <is>
          <t>Mouser page</t>
        </is>
      </c>
      <c r="E25" s="27" t="inlineStr">
        <is>
          <t>Mouser page</t>
        </is>
      </c>
    </row>
    <row r="26">
      <c r="A26" s="18" t="inlineStr">
        <is>
          <t>Datasheet</t>
        </is>
      </c>
      <c r="B26" s="27" t="inlineStr">
        <is>
          <t>datasheet</t>
        </is>
      </c>
      <c r="C26" s="27" t="inlineStr">
        <is>
          <t>datasheet</t>
        </is>
      </c>
      <c r="D26" s="27" t="inlineStr">
        <is>
          <t>datasheet</t>
        </is>
      </c>
      <c r="E26" s="27" t="inlineStr">
        <is>
          <t>datasheet</t>
        </is>
      </c>
    </row>
    <row r="27">
      <c r="A27" s="18" t="inlineStr">
        <is>
          <t>Price per mWh at 1 (USD)</t>
        </is>
      </c>
      <c r="B27" s="43">
        <f>B23/B8</f>
        <v/>
      </c>
      <c r="C27" s="43">
        <f>C23/C8</f>
        <v/>
      </c>
      <c r="D27" s="43">
        <f>D23/D8</f>
        <v/>
      </c>
      <c r="E27" s="43">
        <f>E23/E8</f>
        <v/>
      </c>
    </row>
    <row r="28">
      <c r="A28" s="18" t="inlineStr">
        <is>
          <t>Runtime with no solar, current inputs (days)</t>
        </is>
      </c>
      <c r="B28" s="39">
        <f>IF('Power budget'!$B$22&gt;0,B8/'Power budget'!$B$22,0)</f>
        <v/>
      </c>
      <c r="C28" s="39">
        <f>IF('Power budget'!$B$22&gt;0,C8/'Power budget'!$B$22,0)</f>
        <v/>
      </c>
      <c r="D28" s="39">
        <f>IF('Power budget'!$B$22&gt;0,D8/'Power budget'!$B$22,0)</f>
        <v/>
      </c>
      <c r="E28" s="39">
        <f>IF('Power budget'!$B$22&gt;0,E8/'Power budget'!$B$22,0)</f>
        <v/>
      </c>
    </row>
    <row r="29">
      <c r="A29" s="18" t="inlineStr">
        <is>
          <t>Runtime including special mode (days)</t>
        </is>
      </c>
      <c r="B29" s="39">
        <f>IF('Power budget'!$B$61&gt;0,B8/'Power budget'!$B$61,0)</f>
        <v/>
      </c>
      <c r="C29" s="39">
        <f>IF('Power budget'!$B$61&gt;0,C8/'Power budget'!$B$61,0)</f>
        <v/>
      </c>
      <c r="D29" s="39">
        <f>IF('Power budget'!$B$61&gt;0,D8/'Power budget'!$B$61,0)</f>
        <v/>
      </c>
      <c r="E29" s="39">
        <f>IF('Power budget'!$B$61&gt;0,E8/'Power budget'!$B$61,0)</f>
        <v/>
      </c>
    </row>
    <row r="30">
      <c r="A30" s="18" t="inlineStr">
        <is>
          <t>Fits inside the board size calculated on 'Board size'?</t>
        </is>
      </c>
      <c r="B30" s="2">
        <f>IF('Board size'!$B$33&gt;=B15+2*'Board size'!$B$12,"yes","NO: too big")</f>
        <v/>
      </c>
      <c r="C30" s="2">
        <f>IF('Board size'!$B$33&gt;=C15+2*'Board size'!$B$12,"yes","NO: too big")</f>
        <v/>
      </c>
      <c r="D30" s="2">
        <f>IF('Board size'!$B$33&gt;=D15+2*'Board size'!$B$12,"yes","NO: too big")</f>
        <v/>
      </c>
      <c r="E30" s="2">
        <f>IF('Board size'!$B$33&gt;=E15+2*'Board size'!$B$12,"yes","NO: too big")</f>
        <v/>
      </c>
    </row>
    <row r="31" ht="92" customHeight="1">
      <c r="A31" s="18" t="inlineStr">
        <is>
          <t>Shortcomings</t>
        </is>
      </c>
      <c r="B31" s="29" t="inlineStr">
        <is>
          <t>Smallest and thinnest, but the least energy. NOT in stock at Mouser (factory order, lead time unknown). $13.87 each: the priciest per mWh.</t>
        </is>
      </c>
      <c r="C31" s="29" t="inlineStr">
        <is>
          <t>Good thin option. NOT in stock at Mouser (factory order). The 21 x 12.8 mm size is the widest of the thin cells.</t>
        </is>
      </c>
      <c r="D31" s="29" t="inlineStr">
        <is>
          <t>Best energy for the size, but 5.5 mm thick (the thickest) and only 3 in stock at Mouser. 'Available in USA only' shipping flag.</t>
        </is>
      </c>
      <c r="E31" s="29" t="inlineStr">
        <is>
          <t>Most energy, but 27.5 x 20.5 mm: its diagonal is 34 mm, which forces a larger board. NOT in stock at Mouser. Connector version, not bare wires.</t>
        </is>
      </c>
    </row>
    <row r="32" ht="62" customHeight="1">
      <c r="A32" s="18" t="inlineStr">
        <is>
          <t>How well verified</t>
        </is>
      </c>
      <c r="B32" s="30" t="inlineStr">
        <is>
          <t>Dimensions, weight and charge limits VERIFIED (Renata datasheet via Conrad). Mouser price/stock VERIFIED today.</t>
        </is>
      </c>
      <c r="C32" s="30" t="inlineStr">
        <is>
          <t>Datasheet VERIFIED (Conrad copy). Mouser price/stock VERIFIED today.</t>
        </is>
      </c>
      <c r="D32" s="30" t="inlineStr">
        <is>
          <t>Mouser page VERIFIED today (3 in stock, $12.22, 24 x 10 x 5.5 mm, 0-45 C). Datasheet from Renata.</t>
        </is>
      </c>
      <c r="E32" s="30" t="inlineStr">
        <is>
          <t>Mouser price/stock VERIFIED today. Dimensions and charge limit are from an unopened datasheet excerpt (UNVERIFIED).</t>
        </is>
      </c>
    </row>
  </sheetData>
  <mergeCells count="1">
    <mergeCell ref="A2:E2"/>
  </mergeCells>
  <hyperlinks>
    <hyperlink xmlns:r="http://schemas.openxmlformats.org/officeDocument/2006/relationships" ref="B25" r:id="rId1"/>
    <hyperlink xmlns:r="http://schemas.openxmlformats.org/officeDocument/2006/relationships" ref="C25" r:id="rId2"/>
    <hyperlink xmlns:r="http://schemas.openxmlformats.org/officeDocument/2006/relationships" ref="D25" r:id="rId3"/>
    <hyperlink xmlns:r="http://schemas.openxmlformats.org/officeDocument/2006/relationships" ref="E25" r:id="rId4"/>
    <hyperlink xmlns:r="http://schemas.openxmlformats.org/officeDocument/2006/relationships" ref="B26" r:id="rId5"/>
    <hyperlink xmlns:r="http://schemas.openxmlformats.org/officeDocument/2006/relationships" ref="C26" r:id="rId6"/>
    <hyperlink xmlns:r="http://schemas.openxmlformats.org/officeDocument/2006/relationships" ref="D26" r:id="rId7"/>
    <hyperlink xmlns:r="http://schemas.openxmlformats.org/officeDocument/2006/relationships" ref="E26"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38" customWidth="1" min="1" max="1"/>
    <col width="10" customWidth="1" min="2" max="2"/>
    <col width="12" customWidth="1" min="3" max="3"/>
    <col width="22" customWidth="1" min="4" max="4"/>
    <col width="12" customWidth="1" min="5" max="5"/>
    <col width="22" customWidth="1" min="6" max="6"/>
    <col width="14" customWidth="1" min="7" max="7"/>
    <col width="30" customWidth="1" min="8" max="8"/>
    <col width="26" customWidth="1" min="9" max="9"/>
    <col width="26" customWidth="1" min="10" max="10"/>
    <col width="24" customWidth="1" min="11" max="11"/>
    <col width="40" customWidth="1" min="12" max="12"/>
  </cols>
  <sheetData>
    <row r="1">
      <c r="A1" s="1" t="inlineStr">
        <is>
          <t>Battery options, connections and retention (what we buy and install ourselves: JLCPCB does not sell LiPo cells)</t>
        </is>
      </c>
    </row>
    <row r="2" ht="40" customHeight="1">
      <c r="A2" s="3" t="inlineStr">
        <is>
          <t>Sources: Mouser/Conrad/Renata datasheets (VERIFIED where marked); hobby-shop listings found by web search 2026-10-09 (UNVERIFIED: sizes, stock and prices change and listings disagree). 'Smallest board' = result of plan_board.py with the medium (KXOB25) / 15 mm (AM-1606C) cell, VQFN MCU, 0.5 mm edge safety, cells soldered to pads.</t>
        </is>
      </c>
    </row>
    <row r="4" ht="58" customHeight="1">
      <c r="A4" s="17" t="inlineStr">
        <is>
          <t>Option</t>
        </is>
      </c>
      <c r="B4" s="17" t="inlineStr">
        <is>
          <t>Cells</t>
        </is>
      </c>
      <c r="C4" s="17" t="inlineStr">
        <is>
          <t>Capacity total (mAh)</t>
        </is>
      </c>
      <c r="D4" s="17" t="inlineStr">
        <is>
          <t>Size each L x W x T (mm)</t>
        </is>
      </c>
      <c r="E4" s="17" t="inlineStr">
        <is>
          <t>Protected?</t>
        </is>
      </c>
      <c r="F4" s="17" t="inlineStr">
        <is>
          <t>Termination</t>
        </is>
      </c>
      <c r="G4" s="17" t="inlineStr">
        <is>
          <t>Price (USD each)</t>
        </is>
      </c>
      <c r="H4" s="17" t="inlineStr">
        <is>
          <t>Stock / source</t>
        </is>
      </c>
      <c r="I4" s="17" t="inlineStr">
        <is>
          <t>Smallest board, KXOB25 (MCU front / MCU back OK)</t>
        </is>
      </c>
      <c r="J4" s="17" t="inlineStr">
        <is>
          <t>Smallest board, AM-1606C (MCU front / MCU back OK)</t>
        </is>
      </c>
      <c r="K4" s="17" t="inlineStr">
        <is>
          <t>How well verified</t>
        </is>
      </c>
      <c r="L4" s="17" t="inlineStr">
        <is>
          <t>Shortcomings</t>
        </is>
      </c>
    </row>
    <row r="5" ht="62" customHeight="1">
      <c r="A5" s="19" t="inlineStr">
        <is>
          <t>Renata ICP501022UPM</t>
        </is>
      </c>
      <c r="B5" s="19" t="n">
        <v>1</v>
      </c>
      <c r="C5" s="19" t="n">
        <v>80</v>
      </c>
      <c r="D5" s="19" t="inlineStr">
        <is>
          <t>24 x 10 x 5.5</t>
        </is>
      </c>
      <c r="E5" s="19" t="inlineStr">
        <is>
          <t>Yes</t>
        </is>
      </c>
      <c r="F5" s="19" t="inlineStr">
        <is>
          <t>Wire leads AWG30</t>
        </is>
      </c>
      <c r="G5" s="44" t="n">
        <v>12.22</v>
      </c>
      <c r="H5" s="19" t="inlineStr">
        <is>
          <t>Mouser 3 in stock</t>
        </is>
      </c>
      <c r="I5" s="19" t="inlineStr">
        <is>
          <t>36 mm</t>
        </is>
      </c>
      <c r="J5" s="19" t="inlineStr">
        <is>
          <t>40.5 mm (older run, TQFP MCU)</t>
        </is>
      </c>
      <c r="K5" s="19" t="inlineStr">
        <is>
          <t>Datasheet + Mouser page VERIFIED</t>
        </is>
      </c>
      <c r="L5" s="19" t="inlineStr">
        <is>
          <t>Thickest (5.5 mm); 3 in stock; single cell sits in the middle (rocking point).</t>
        </is>
      </c>
    </row>
    <row r="6" ht="62" customHeight="1">
      <c r="A6" s="19" t="inlineStr">
        <is>
          <t>Renata ICP331319PM x2</t>
        </is>
      </c>
      <c r="B6" s="19" t="n">
        <v>2</v>
      </c>
      <c r="C6" s="19" t="n">
        <v>100</v>
      </c>
      <c r="D6" s="19" t="inlineStr">
        <is>
          <t>21 x 12.8 x 3.7</t>
        </is>
      </c>
      <c r="E6" s="19" t="inlineStr">
        <is>
          <t>Yes (each)</t>
        </is>
      </c>
      <c r="F6" s="19" t="inlineStr">
        <is>
          <t>Wire leads AWG30</t>
        </is>
      </c>
      <c r="G6" s="44" t="n">
        <v>12.21</v>
      </c>
      <c r="H6" s="19" t="inlineStr">
        <is>
          <t>Mouser 0 (factory order)</t>
        </is>
      </c>
      <c r="I6" s="19" t="inlineStr">
        <is>
          <t>37 / 37 mm</t>
        </is>
      </c>
      <c r="J6" s="19" t="inlineStr">
        <is>
          <t>43 / 42 mm</t>
        </is>
      </c>
      <c r="K6" s="19" t="inlineStr">
        <is>
          <t>Datasheet + Mouser VERIFIED</t>
        </is>
      </c>
      <c r="L6" s="19" t="inlineStr">
        <is>
          <t>Not stocked; about $24 for two; two cells to match and solder.</t>
        </is>
      </c>
    </row>
    <row r="7" ht="62" customHeight="1">
      <c r="A7" s="19" t="inlineStr">
        <is>
          <t>Renata ICP341018PM x2</t>
        </is>
      </c>
      <c r="B7" s="19" t="n">
        <v>2</v>
      </c>
      <c r="C7" s="19" t="n">
        <v>70</v>
      </c>
      <c r="D7" s="19" t="inlineStr">
        <is>
          <t>19.5 x 10.2 x 3.7</t>
        </is>
      </c>
      <c r="E7" s="19" t="inlineStr">
        <is>
          <t>Yes (each)</t>
        </is>
      </c>
      <c r="F7" s="19" t="inlineStr">
        <is>
          <t>Wire leads AWG30</t>
        </is>
      </c>
      <c r="G7" s="44" t="n">
        <v>13.87</v>
      </c>
      <c r="H7" s="19" t="inlineStr">
        <is>
          <t>Mouser 0 (factory order); Conrad ~EUR 14</t>
        </is>
      </c>
      <c r="I7" s="19" t="inlineStr">
        <is>
          <t>37 mm</t>
        </is>
      </c>
      <c r="J7" s="19" t="inlineStr">
        <is>
          <t>n/a</t>
        </is>
      </c>
      <c r="K7" s="19" t="inlineStr">
        <is>
          <t>Datasheet + Mouser VERIFIED</t>
        </is>
      </c>
      <c r="L7" s="19" t="inlineStr">
        <is>
          <t>Least energy; priciest per mAh.</t>
        </is>
      </c>
    </row>
    <row r="8" ht="62" customHeight="1">
      <c r="A8" s="19" t="inlineStr">
        <is>
          <t>Generic LP401230 x2</t>
        </is>
      </c>
      <c r="B8" s="19" t="n">
        <v>2</v>
      </c>
      <c r="C8" s="19" t="n">
        <v>200</v>
      </c>
      <c r="D8" s="19" t="inlineStr">
        <is>
          <t>30 x 12 x 4 (listing: 100-110 mAh each)</t>
        </is>
      </c>
      <c r="E8" s="19" t="inlineStr">
        <is>
          <t>Varies by seller</t>
        </is>
      </c>
      <c r="F8" s="19" t="inlineStr">
        <is>
          <t>Wires or JST-PH</t>
        </is>
      </c>
      <c r="G8" s="19" t="inlineStr">
        <is>
          <t>n/a</t>
        </is>
      </c>
      <c r="H8" s="19" t="inlineStr">
        <is>
          <t>BerryBase / eBay DE (no US shipping on one listing)</t>
        </is>
      </c>
      <c r="I8" s="19" t="inlineStr">
        <is>
          <t>42 / 42 mm</t>
        </is>
      </c>
      <c r="J8" s="19" t="inlineStr">
        <is>
          <t>46 / 46 mm</t>
        </is>
      </c>
      <c r="K8" s="19" t="inlineStr">
        <is>
          <t>UNVERIFIED: capacity listings disagree</t>
        </is>
      </c>
      <c r="L8" s="19" t="inlineStr">
        <is>
          <t>Long cells need a wider board; two of them need 42 mm+; quality varies.</t>
        </is>
      </c>
    </row>
    <row r="9" ht="62" customHeight="1">
      <c r="A9" s="19" t="inlineStr">
        <is>
          <t>Generic LP401230 x1</t>
        </is>
      </c>
      <c r="B9" s="19" t="n">
        <v>1</v>
      </c>
      <c r="C9" s="19" t="n">
        <v>100</v>
      </c>
      <c r="D9" s="19" t="inlineStr">
        <is>
          <t>30 x 12 x 4</t>
        </is>
      </c>
      <c r="E9" s="19" t="inlineStr">
        <is>
          <t>Varies by seller</t>
        </is>
      </c>
      <c r="F9" s="19" t="inlineStr">
        <is>
          <t>Wires or JST-PH</t>
        </is>
      </c>
      <c r="G9" s="19" t="inlineStr">
        <is>
          <t>n/a</t>
        </is>
      </c>
      <c r="H9" s="19" t="inlineStr">
        <is>
          <t>as above</t>
        </is>
      </c>
      <c r="I9" s="19" t="inlineStr">
        <is>
          <t>37 / 36 mm</t>
        </is>
      </c>
      <c r="J9" s="19" t="inlineStr">
        <is>
          <t>43 / 42 mm</t>
        </is>
      </c>
      <c r="K9" s="19" t="inlineStr">
        <is>
          <t>UNVERIFIED</t>
        </is>
      </c>
      <c r="L9" s="19" t="inlineStr">
        <is>
          <t>Single cell back in the middle.</t>
        </is>
      </c>
    </row>
    <row r="10" ht="62" customHeight="1">
      <c r="A10" s="19" t="inlineStr">
        <is>
          <t>Generic LP402025 (e.g. Adafruit 1317 150 mAh)</t>
        </is>
      </c>
      <c r="B10" s="19" t="n">
        <v>1</v>
      </c>
      <c r="C10" s="19" t="n">
        <v>150</v>
      </c>
      <c r="D10" s="19" t="inlineStr">
        <is>
          <t>27 x 20 x 4 (UNVERIFIED)</t>
        </is>
      </c>
      <c r="E10" s="19" t="inlineStr">
        <is>
          <t>Yes</t>
        </is>
      </c>
      <c r="F10" s="19" t="inlineStr">
        <is>
          <t>JST-PH plug (cut off or use)</t>
        </is>
      </c>
      <c r="G10" s="44" t="n">
        <v>5.95</v>
      </c>
      <c r="H10" s="19" t="inlineStr">
        <is>
          <t>Adafruit; one distributor shows stock conflicts</t>
        </is>
      </c>
      <c r="I10" s="19" t="inlineStr">
        <is>
          <t>37 / 37 mm</t>
        </is>
      </c>
      <c r="J10" s="19" t="inlineStr">
        <is>
          <t>43 / 42 mm</t>
        </is>
      </c>
      <c r="K10" s="19" t="inlineStr">
        <is>
          <t>UNVERIFIED (search snippets)</t>
        </is>
      </c>
      <c r="L10" s="19" t="inlineStr">
        <is>
          <t>Single big cell in the middle (rocking); two do not fit under 48 mm.</t>
        </is>
      </c>
    </row>
    <row r="11" ht="62" customHeight="1">
      <c r="A11" s="19" t="inlineStr">
        <is>
          <t>Adafruit 100 mAh (1570) / SparkFun 110 mAh (PRT-13853)</t>
        </is>
      </c>
      <c r="B11" s="19" t="n">
        <v>1</v>
      </c>
      <c r="C11" s="19" t="n">
        <v>100</v>
      </c>
      <c r="D11" s="19" t="inlineStr">
        <is>
          <t>about 30 x 12 x 4 (UNVERIFIED)</t>
        </is>
      </c>
      <c r="E11" s="19" t="inlineStr">
        <is>
          <t>Yes</t>
        </is>
      </c>
      <c r="F11" s="19" t="inlineStr">
        <is>
          <t>JST-PH plug</t>
        </is>
      </c>
      <c r="G11" s="19" t="inlineStr">
        <is>
          <t>11.60 / 7.53</t>
        </is>
      </c>
      <c r="H11" s="19" t="inlineStr">
        <is>
          <t>Marked retired or backorder by some sellers</t>
        </is>
      </c>
      <c r="I11" s="19" t="inlineStr">
        <is>
          <t>n/a</t>
        </is>
      </c>
      <c r="J11" s="19" t="inlineStr">
        <is>
          <t>n/a</t>
        </is>
      </c>
      <c r="K11" s="19" t="inlineStr">
        <is>
          <t>UNVERIFIED</t>
        </is>
      </c>
      <c r="L11" s="19" t="inlineStr">
        <is>
          <t>Stock unclear.</t>
        </is>
      </c>
    </row>
    <row r="12" ht="62" customHeight="1">
      <c r="A12" s="19" t="inlineStr">
        <is>
          <t>LIR2032 coin</t>
        </is>
      </c>
      <c r="B12" s="19" t="n">
        <v>1</v>
      </c>
      <c r="C12" s="19" t="n">
        <v>40</v>
      </c>
      <c r="D12" s="19" t="inlineStr">
        <is>
          <t>20 dia x 3.2</t>
        </is>
      </c>
      <c r="E12" s="19" t="inlineStr">
        <is>
          <t>NO</t>
        </is>
      </c>
      <c r="F12" s="19" t="inlineStr">
        <is>
          <t>Holder or solder tabs</t>
        </is>
      </c>
      <c r="G12" s="19" t="inlineStr">
        <is>
          <t>n/a</t>
        </is>
      </c>
      <c r="H12" s="19" t="inlineStr">
        <is>
          <t>Many sellers (EEMB, RS, Loopacell...)</t>
        </is>
      </c>
      <c r="I12" s="19" t="inlineStr">
        <is>
          <t>about 40 mm</t>
        </is>
      </c>
      <c r="J12" s="19" t="inlineStr">
        <is>
          <t>about 44 mm</t>
        </is>
      </c>
      <c r="K12" s="19" t="inlineStr">
        <is>
          <t>Size/voltage VERIFIED in 3 datasheets; no protection found</t>
        </is>
      </c>
      <c r="L12" s="19" t="inlineStr">
        <is>
          <t>Half the energy; needs a protection part; holder adds bulk.</t>
        </is>
      </c>
    </row>
    <row r="13" ht="62" customHeight="1">
      <c r="A13" s="19" t="inlineStr">
        <is>
          <t>TinyCircuits 70 mAh (ASR00011)</t>
        </is>
      </c>
      <c r="B13" s="19" t="n">
        <v>2</v>
      </c>
      <c r="C13" s="19" t="n">
        <v>140</v>
      </c>
      <c r="D13" s="19" t="inlineStr">
        <is>
          <t>15 x 15 x 5 (+/-3, +/-2, +/-0.5)</t>
        </is>
      </c>
      <c r="E13" s="19" t="inlineStr">
        <is>
          <t>Yes</t>
        </is>
      </c>
      <c r="F13" s="19" t="inlineStr">
        <is>
          <t>JST SHR-02V-S-B plug, 25 mm wires (matches our header)</t>
        </is>
      </c>
      <c r="G13" s="19" t="inlineStr">
        <is>
          <t>n/a (not fetched)</t>
        </is>
      </c>
      <c r="H13" s="19" t="inlineStr">
        <is>
          <t>TinyCircuits shop; Mouser carries other TinyCircuits cells</t>
        </is>
      </c>
      <c r="I13" s="19" t="inlineStr">
        <is>
          <t>46 mm (strict)</t>
        </is>
      </c>
      <c r="J13" s="19" t="inlineStr">
        <is>
          <t>46 mm (strict)</t>
        </is>
      </c>
      <c r="K13" s="19" t="inlineStr">
        <is>
          <t>Size from a search summary; plug VERIFIED on the 150 mAh page</t>
        </is>
      </c>
      <c r="L13" s="19" t="inlineStr">
        <is>
          <t>Fat (5 mm); two of them are only 140 mAh.</t>
        </is>
      </c>
    </row>
    <row r="14" ht="62" customHeight="1">
      <c r="A14" s="19" t="inlineStr">
        <is>
          <t>TinyCircuits 150 mAh (ASR00003)</t>
        </is>
      </c>
      <c r="B14" s="19" t="n">
        <v>1</v>
      </c>
      <c r="C14" s="19" t="n">
        <v>150</v>
      </c>
      <c r="D14" s="19" t="inlineStr">
        <is>
          <t>20 x 20 x 5 (+/-3, +/-2, +/-0.5)</t>
        </is>
      </c>
      <c r="E14" s="19" t="inlineStr">
        <is>
          <t>Yes</t>
        </is>
      </c>
      <c r="F14" s="19" t="inlineStr">
        <is>
          <t>JST SHR-02V-S-B plug, 25 mm wires</t>
        </is>
      </c>
      <c r="G14" s="44" t="n">
        <v>4.95</v>
      </c>
      <c r="H14" s="19" t="inlineStr">
        <is>
          <t>TinyCircuits shop; Mouser datasheet exists</t>
        </is>
      </c>
      <c r="I14" s="19" t="inlineStr">
        <is>
          <t>single cell: fits</t>
        </is>
      </c>
      <c r="J14" s="19" t="inlineStr">
        <is>
          <t>single cell: fits</t>
        </is>
      </c>
      <c r="K14" s="19" t="inlineStr">
        <is>
          <t>TinyCircuits page VERIFIED (size, plug, price, protection, certs)</t>
        </is>
      </c>
      <c r="L14" s="19" t="inlineStr">
        <is>
          <t>Square 5 mm cell in the middle again; two do not fit under 48 mm.</t>
        </is>
      </c>
    </row>
    <row r="15" ht="62" customHeight="1">
      <c r="A15" s="19" t="inlineStr">
        <is>
          <t>Generic LP301030 x2 (3.0 x 10 x 30)</t>
        </is>
      </c>
      <c r="B15" s="19" t="n">
        <v>2</v>
      </c>
      <c r="C15" s="19" t="n">
        <v>140</v>
      </c>
      <c r="D15" s="19" t="inlineStr">
        <is>
          <t>30.5 x 10.2 x 3.2</t>
        </is>
      </c>
      <c r="E15" s="19" t="inlineStr">
        <is>
          <t>PCM included on some listings</t>
        </is>
      </c>
      <c r="F15" s="19" t="inlineStr">
        <is>
          <t>Wires (a seller can fit JST-SH to order: UNVERIFIED)</t>
        </is>
      </c>
      <c r="G15" s="19" t="inlineStr">
        <is>
          <t>about 2-3 (listings)</t>
        </is>
      </c>
      <c r="H15" s="19" t="inlineStr">
        <is>
          <t>Amazon, eBay, Alibaba makers</t>
        </is>
      </c>
      <c r="I15" s="19" t="inlineStr">
        <is>
          <t>45 mm (strict)</t>
        </is>
      </c>
      <c r="J15" s="19" t="inlineStr">
        <is>
          <t>45 mm (strict)</t>
        </is>
      </c>
      <c r="K15" s="19" t="inlineStr">
        <is>
          <t>UNVERIFIED: capacity 60-100 mAh depending on seller; no manufacturer datasheet found</t>
        </is>
      </c>
      <c r="L15" s="19" t="inlineStr">
        <is>
          <t>Thinnest option (3.2 mm); capacity and PCM vary by listing.</t>
        </is>
      </c>
    </row>
    <row r="16" ht="62" customHeight="1">
      <c r="A16" s="19" t="inlineStr">
        <is>
          <t>Generic LP401030 x2 (4.0 x 10 x 30)</t>
        </is>
      </c>
      <c r="B16" s="19" t="n">
        <v>2</v>
      </c>
      <c r="C16" s="19" t="n">
        <v>180</v>
      </c>
      <c r="D16" s="19" t="inlineStr">
        <is>
          <t>30 x 10 x 4</t>
        </is>
      </c>
      <c r="E16" s="19" t="inlineStr">
        <is>
          <t>Yes (PCM)</t>
        </is>
      </c>
      <c r="F16" s="19" t="inlineStr">
        <is>
          <t>Wires</t>
        </is>
      </c>
      <c r="G16" s="19" t="inlineStr">
        <is>
          <t>n/a</t>
        </is>
      </c>
      <c r="H16" s="19" t="inlineStr">
        <is>
          <t>LiPol and many makers</t>
        </is>
      </c>
      <c r="I16" s="19" t="inlineStr">
        <is>
          <t>44 mm (strict)</t>
        </is>
      </c>
      <c r="J16" s="19" t="inlineStr">
        <is>
          <t>44 mm (strict)</t>
        </is>
      </c>
      <c r="K16" s="19" t="inlineStr">
        <is>
          <t>LiPol datasheet exists (90 mAh, charge &lt;= 45 mA); stock not checked</t>
        </is>
      </c>
      <c r="L16" s="19" t="inlineStr">
        <is>
          <t>Slow charge limit (45 mA).</t>
        </is>
      </c>
    </row>
    <row r="17" ht="62" customHeight="1">
      <c r="A17" s="19" t="inlineStr">
        <is>
          <t>Electrokit 220 mAh with JST-SH</t>
        </is>
      </c>
      <c r="B17" s="19" t="n">
        <v>1</v>
      </c>
      <c r="C17" s="19" t="n">
        <v>220</v>
      </c>
      <c r="D17" s="19" t="inlineStr">
        <is>
          <t>36.5 x 21 x 4.5</t>
        </is>
      </c>
      <c r="E17" s="19" t="inlineStr">
        <is>
          <t>Yes</t>
        </is>
      </c>
      <c r="F17" s="19" t="inlineStr">
        <is>
          <t>150 mm AWG24 cable + JST-SH plug</t>
        </is>
      </c>
      <c r="G17" s="19" t="inlineStr">
        <is>
          <t>n/a</t>
        </is>
      </c>
      <c r="H17" s="19" t="inlineStr">
        <is>
          <t>Electrokit (EU/Nordics only)</t>
        </is>
      </c>
      <c r="I17" s="19" t="inlineStr">
        <is>
          <t>does not fit</t>
        </is>
      </c>
      <c r="J17" s="19" t="inlineStr">
        <is>
          <t>does not fit</t>
        </is>
      </c>
      <c r="K17" s="19" t="inlineStr">
        <is>
          <t>UNVERIFIED</t>
        </is>
      </c>
      <c r="L17" s="19" t="inlineStr">
        <is>
          <t>Too big for the back.</t>
        </is>
      </c>
    </row>
    <row r="19">
      <c r="A19" s="4" t="inlineStr">
        <is>
          <t>Connections (what joins the cell to the board)</t>
        </is>
      </c>
      <c r="B19" s="15" t="n"/>
      <c r="C19" s="15" t="n"/>
      <c r="D19" s="15" t="n"/>
      <c r="E19" s="15" t="n"/>
      <c r="F19" s="15" t="n"/>
      <c r="G19" s="15" t="n"/>
      <c r="H19" s="15" t="n"/>
      <c r="I19" s="15" t="n"/>
      <c r="J19" s="15" t="n"/>
      <c r="K19" s="15" t="n"/>
      <c r="L19" s="15" t="n"/>
    </row>
    <row r="20">
      <c r="A20" s="17" t="inlineStr">
        <is>
          <t>Option</t>
        </is>
      </c>
      <c r="B20" s="17" t="inlineStr">
        <is>
          <t>Part</t>
        </is>
      </c>
      <c r="C20" s="17" t="inlineStr">
        <is>
          <t>JLCPCB assembles it?</t>
        </is>
      </c>
      <c r="D20" s="17" t="inlineStr">
        <is>
          <t>Colour</t>
        </is>
      </c>
      <c r="E20" s="17" t="inlineStr">
        <is>
          <t>Size</t>
        </is>
      </c>
      <c r="F20" s="17" t="inlineStr">
        <is>
          <t>Pros</t>
        </is>
      </c>
      <c r="G20" s="17" t="inlineStr">
        <is>
          <t>Cons</t>
        </is>
      </c>
      <c r="H20" s="17" t="inlineStr">
        <is>
          <t>Verified?</t>
        </is>
      </c>
    </row>
    <row r="21" ht="70" customHeight="1">
      <c r="A21" s="19" t="inlineStr">
        <is>
          <t>JST-SH header (1 mm), our current choice</t>
        </is>
      </c>
      <c r="B21" s="19" t="inlineStr">
        <is>
          <t>SM02B-SRSS-TB(LF)(SN), JLCPCB C160402; mating plug JST SHR-02V-S-B</t>
        </is>
      </c>
      <c r="C21" s="19" t="inlineStr">
        <is>
          <t>YES: 27,798 in stock. (Use C160402; the plain listing C18337480 has 0 stock.)</t>
        </is>
      </c>
      <c r="D21" s="19" t="inlineStr">
        <is>
          <t>Not verified: check the JST drawing for the housing colour</t>
        </is>
      </c>
      <c r="E21" s="19" t="inlineStr">
        <is>
          <t>tiny, about 3 mm tall</t>
        </is>
      </c>
      <c r="F21" s="19" t="inlineStr">
        <is>
          <t>Smallest plug-in; assembler places it; TinyCircuits cells and Electrokit cells already ship with this plug; hand-swap with no soldering iron.</t>
        </is>
      </c>
      <c r="G21" s="19" t="inlineStr">
        <is>
          <t>Most hobby cells ship with PH plugs; generic sellers may fit SH to order (UNVERIFIED). Opening direction on the boards is unverified against the JST drawing.</t>
        </is>
      </c>
      <c r="H21" s="19" t="inlineStr">
        <is>
          <t>JLCPCB stock VERIFIED</t>
        </is>
      </c>
    </row>
    <row r="22" ht="70" customHeight="1">
      <c r="A22" s="19" t="inlineStr">
        <is>
          <t>Screw or spring wire terminal (for swapping cells with no iron)</t>
        </is>
      </c>
      <c r="B22" s="19" t="inlineStr">
        <is>
          <t>Phoenix PTSM / 1771091 (2.5 mm pitch, SMD spring-cage, screwless); smallest screw terminals are 2.54 mm pitch</t>
        </is>
      </c>
      <c r="C22" s="19" t="inlineStr">
        <is>
          <t>yes (SMD) but height NOT verified</t>
        </is>
      </c>
      <c r="D22" s="19" t="inlineStr">
        <is>
          <t>typically black/green (UNVERIFIED)</t>
        </is>
      </c>
      <c r="E22" s="19" t="inlineStr">
        <is>
          <t>likely 6+ mm tall</t>
        </is>
      </c>
      <c r="F22" s="19" t="inlineStr">
        <is>
          <t>Tool-free swap of bare wires.</t>
        </is>
      </c>
      <c r="G22" s="19" t="inlineStr">
        <is>
          <t>Much bigger than the 3-4 mm JST-SH; needs bare wire ends; heavy for a watch.</t>
        </is>
      </c>
      <c r="H22" s="19" t="inlineStr">
        <is>
          <t>UNVERIFIED (datasheet blocked)</t>
        </is>
      </c>
    </row>
    <row r="23" ht="70" customHeight="1">
      <c r="A23" s="19" t="inlineStr">
        <is>
          <t>Solder the cell wires to pads</t>
        </is>
      </c>
      <c r="B23" s="19" t="inlineStr">
        <is>
          <t>no part (2 small pads per cell, drawn on the boards)</t>
        </is>
      </c>
      <c r="C23" s="19" t="inlineStr">
        <is>
          <t>pads yes; wires are a manual step</t>
        </is>
      </c>
      <c r="D23" s="19" t="inlineStr">
        <is>
          <t>n/a</t>
        </is>
      </c>
      <c r="E23" s="19" t="inlineStr">
        <is>
          <t>flat</t>
        </is>
      </c>
      <c r="F23" s="19" t="inlineStr">
        <is>
          <t>Most elegant and thinnest; no plastic at all; no PH/SH mismatch.</t>
        </is>
      </c>
      <c r="G23" s="19" t="inlineStr">
        <is>
          <t>Hand soldering near a cell; needs strain relief (tape/foam).</t>
        </is>
      </c>
      <c r="H23" s="19" t="inlineStr">
        <is>
          <t>reasoning</t>
        </is>
      </c>
    </row>
    <row r="24" ht="70" customHeight="1">
      <c r="A24" s="19" t="inlineStr">
        <is>
          <t>JST-PH header (2 mm)</t>
        </is>
      </c>
      <c r="B24" s="19" t="inlineStr">
        <is>
          <t>B2B-PH-SM4 family (not checked)</t>
        </is>
      </c>
      <c r="C24" s="19" t="inlineStr">
        <is>
          <t>likely yes (not checked)</t>
        </is>
      </c>
      <c r="D24" s="19" t="inlineStr">
        <is>
          <t>typically white/natural (UNVERIFIED); black variants exist (UNVERIFIED)</t>
        </is>
      </c>
      <c r="E24" s="19" t="inlineStr">
        <is>
          <t>about 6 mm tall</t>
        </is>
      </c>
      <c r="F24" s="19" t="inlineStr">
        <is>
          <t>Matches most hobby cells with no cutting.</t>
        </is>
      </c>
      <c r="G24" s="19" t="inlineStr">
        <is>
          <t>Bigger, taller, white by default.</t>
        </is>
      </c>
      <c r="H24" s="19" t="inlineStr">
        <is>
          <t>UNVERIFIED</t>
        </is>
      </c>
    </row>
    <row r="26">
      <c r="A26" s="4" t="inlineStr">
        <is>
          <t>Holding the cells down</t>
        </is>
      </c>
      <c r="B26" s="15" t="n"/>
      <c r="C26" s="15" t="n"/>
      <c r="D26" s="15" t="n"/>
      <c r="E26" s="15" t="n"/>
      <c r="F26" s="15" t="n"/>
      <c r="G26" s="15" t="n"/>
      <c r="H26" s="15" t="n"/>
      <c r="I26" s="15" t="n"/>
      <c r="J26" s="15" t="n"/>
      <c r="K26" s="15" t="n"/>
      <c r="L26" s="15" t="n"/>
    </row>
    <row r="27">
      <c r="A27" s="17" t="inlineStr">
        <is>
          <t>Option</t>
        </is>
      </c>
      <c r="B27" s="17" t="inlineStr">
        <is>
          <t>How</t>
        </is>
      </c>
      <c r="C27" s="17" t="inlineStr">
        <is>
          <t>Interferes with the LED band / front parts?</t>
        </is>
      </c>
      <c r="D27" s="17" t="inlineStr">
        <is>
          <t>Verdict</t>
        </is>
      </c>
    </row>
    <row r="28" ht="62" customHeight="1">
      <c r="A28" s="19" t="inlineStr">
        <is>
          <t>Foam tape under each cell + polyimide (Kapton) tape over it</t>
        </is>
      </c>
      <c r="B28" s="19" t="inlineStr">
        <is>
          <t>Tape bridges onto bare board next to the cell (yellow dashed zone on the diagrams).</t>
        </is>
      </c>
      <c r="C28" s="19" t="inlineStr">
        <is>
          <t>No: nothing goes through the board.</t>
        </is>
      </c>
      <c r="D28" s="19" t="inlineStr">
        <is>
          <t>USE for prototypes.</t>
        </is>
      </c>
    </row>
    <row r="29" ht="62" customHeight="1">
      <c r="A29" s="19" t="inlineStr">
        <is>
          <t>Zip ties through board slots</t>
        </is>
      </c>
      <c r="B29" s="19" t="inlineStr">
        <is>
          <t>A tie needs a slot on each side of the cell; the outer slot would sit under the LED band.</t>
        </is>
      </c>
      <c r="C29" s="19" t="inlineStr">
        <is>
          <t>YES: slots land where the LEDs and their traces are.</t>
        </is>
      </c>
      <c r="D29" s="19" t="inlineStr">
        <is>
          <t>AVOID.</t>
        </is>
      </c>
    </row>
    <row r="30" ht="62" customHeight="1">
      <c r="A30" s="19" t="inlineStr">
        <is>
          <t>Thin metal shield over each cell (or both)</t>
        </is>
      </c>
      <c r="B30" s="19" t="inlineStr">
        <is>
          <t>Custom folded 0.2-0.3 mm stainless sheet or a standard soldered shield frame/lid, soldered to ground pads or glued; leaves a small gap over the cell (foam).</t>
        </is>
      </c>
      <c r="C30" s="19" t="inlineStr">
        <is>
          <t>No if its pads sit on the dashed zone.</t>
        </is>
      </c>
      <c r="D30" s="19" t="inlineStr">
        <is>
          <t>GOOD later; no specific product verified yet.</t>
        </is>
      </c>
    </row>
    <row r="31" ht="62" customHeight="1">
      <c r="A31" s="19" t="inlineStr">
        <is>
          <t>Case with a 1 mm bumper</t>
        </is>
      </c>
      <c r="B31" s="19" t="inlineStr">
        <is>
          <t>Wrap-under case; strap through the board slots.</t>
        </is>
      </c>
      <c r="C31" s="19" t="inlineStr">
        <is>
          <t>No.</t>
        </is>
      </c>
      <c r="D31" s="19" t="inlineStr">
        <is>
          <t>LATER (not for first prototypes).</t>
        </is>
      </c>
    </row>
  </sheetData>
  <mergeCells count="1">
    <mergeCell ref="A2:L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30" customWidth="1" min="1" max="1"/>
    <col width="16" customWidth="1" min="2" max="2"/>
    <col width="14" customWidth="1" min="3" max="3"/>
    <col width="14" customWidth="1" min="4" max="4"/>
    <col width="16" customWidth="1" min="5" max="5"/>
    <col width="16" customWidth="1" min="6" max="6"/>
    <col width="18" customWidth="1" min="7" max="7"/>
    <col width="14" customWidth="1" min="8" max="8"/>
    <col width="14" customWidth="1" min="9" max="9"/>
    <col width="14" customWidth="1" min="10" max="10"/>
    <col width="14" customWidth="1" min="11" max="11"/>
    <col width="38" customWidth="1" min="12" max="12"/>
    <col width="18" customWidth="1" min="13" max="13"/>
  </cols>
  <sheetData>
    <row r="1">
      <c r="A1" s="1" t="inlineStr">
        <is>
          <t>Solar: light units, cell power, and daily harvest</t>
        </is>
      </c>
    </row>
    <row r="2" ht="28" customHeight="1">
      <c r="A2" s="3" t="inlineStr">
        <is>
          <t>Unit chain: lux -&gt; W/m2 (divide by lux-per-W/m2) -&gt; mW/cm2 (divide by 10) -&gt; suns (divide W/m2 by 1000). Indoor LED/fluorescent ~300 lux per W/m2, daylight ~120 (ESTIMATES, see solar-watch-evidence.md).</t>
        </is>
      </c>
    </row>
    <row r="3"/>
    <row r="4" ht="58" customHeight="1">
      <c r="A4" s="17" t="inlineStr">
        <is>
          <t>Light condition</t>
        </is>
      </c>
      <c r="B4" s="17" t="inlineStr">
        <is>
          <t>Lux</t>
        </is>
      </c>
      <c r="C4" s="17" t="inlineStr">
        <is>
          <t>Lux per W/m2</t>
        </is>
      </c>
      <c r="D4" s="17" t="inlineStr">
        <is>
          <t>W/m2</t>
        </is>
      </c>
      <c r="E4" s="17" t="inlineStr">
        <is>
          <t>mW/cm2</t>
        </is>
      </c>
      <c r="F4" s="17" t="inlineStr">
        <is>
          <t>Suns</t>
        </is>
      </c>
      <c r="G4" s="17" t="inlineStr">
        <is>
          <t>Mono-Si low-light derating (vs 1 sun)</t>
        </is>
      </c>
      <c r="H4" s="17" t="inlineStr">
        <is>
          <t>Office hours/day</t>
        </is>
      </c>
      <c r="I4" s="17" t="inlineStr">
        <is>
          <t>Commuter hours/day</t>
        </is>
      </c>
      <c r="J4" s="17" t="inlineStr">
        <is>
          <t>Outdoor hours/day</t>
        </is>
      </c>
      <c r="K4" s="17" t="inlineStr">
        <is>
          <t>AM-1606C power (mW)</t>
        </is>
      </c>
      <c r="L4" s="17" t="inlineStr">
        <is>
          <t>KXOB25-07X1TF power (mW)</t>
        </is>
      </c>
      <c r="M4" s="17" t="inlineStr">
        <is>
          <t>KXOB081K06TF power (mW)</t>
        </is>
      </c>
    </row>
    <row r="5">
      <c r="A5" s="2" t="inlineStr">
        <is>
          <t>Dim indoor (home)</t>
        </is>
      </c>
      <c r="B5" s="45" t="n">
        <v>200</v>
      </c>
      <c r="C5" s="11" t="n">
        <v>300</v>
      </c>
      <c r="D5" s="28">
        <f>B5/C5</f>
        <v/>
      </c>
      <c r="E5" s="46">
        <f>D5/10</f>
        <v/>
      </c>
      <c r="F5" s="47">
        <f>D5/1000</f>
        <v/>
      </c>
      <c r="G5" s="48">
        <f>4.4/18.4</f>
        <v/>
      </c>
      <c r="H5" s="13" t="n">
        <v>6</v>
      </c>
      <c r="I5" s="13" t="n">
        <v>5</v>
      </c>
      <c r="J5" s="13" t="n">
        <v>3</v>
      </c>
      <c r="K5" s="46">
        <f>IF($B5&lt;=1000,$E$22/1000*($E5/$E$5),$F$22*$E5*$B$22)</f>
        <v/>
      </c>
      <c r="L5" s="46">
        <f>$D$23*($E5/100)*$G5</f>
        <v/>
      </c>
      <c r="M5" s="46">
        <f>$D$24*($E5/100)*$G5</f>
        <v/>
      </c>
    </row>
    <row r="6">
      <c r="A6" s="2" t="inlineStr">
        <is>
          <t>Desk</t>
        </is>
      </c>
      <c r="B6" s="45" t="n">
        <v>500</v>
      </c>
      <c r="C6" s="11" t="n">
        <v>300</v>
      </c>
      <c r="D6" s="28">
        <f>B6/C6</f>
        <v/>
      </c>
      <c r="E6" s="46">
        <f>D6/10</f>
        <v/>
      </c>
      <c r="F6" s="47">
        <f>D6/1000</f>
        <v/>
      </c>
      <c r="G6" s="48">
        <f>7/18.4</f>
        <v/>
      </c>
      <c r="H6" s="13" t="n">
        <v>6</v>
      </c>
      <c r="I6" s="13" t="n">
        <v>4</v>
      </c>
      <c r="J6" s="13" t="n">
        <v>1</v>
      </c>
      <c r="K6" s="46">
        <f>IF($B6&lt;=1000,$E$22/1000*($E6/$E$5),$F$22*$E6*$B$22)</f>
        <v/>
      </c>
      <c r="L6" s="46">
        <f>$D$23*($E6/100)*$G6</f>
        <v/>
      </c>
      <c r="M6" s="46">
        <f>$D$24*($E6/100)*$G6</f>
        <v/>
      </c>
    </row>
    <row r="7">
      <c r="A7" s="2" t="inlineStr">
        <is>
          <t>Window</t>
        </is>
      </c>
      <c r="B7" s="45" t="n">
        <v>1000</v>
      </c>
      <c r="C7" s="11" t="n">
        <v>120</v>
      </c>
      <c r="D7" s="28">
        <f>B7/C7</f>
        <v/>
      </c>
      <c r="E7" s="46">
        <f>D7/10</f>
        <v/>
      </c>
      <c r="F7" s="47">
        <f>D7/1000</f>
        <v/>
      </c>
      <c r="G7" s="48">
        <f>11/18.4</f>
        <v/>
      </c>
      <c r="H7" s="13" t="n">
        <v>1</v>
      </c>
      <c r="I7" s="13" t="n">
        <v>1</v>
      </c>
      <c r="J7" s="13" t="n">
        <v>0</v>
      </c>
      <c r="K7" s="46">
        <f>IF($B7&lt;=1000,$E$22/1000*($E7/$E$5),$F$22*$E7*$B$22)</f>
        <v/>
      </c>
      <c r="L7" s="46">
        <f>$D$23*($E7/100)*$G7</f>
        <v/>
      </c>
      <c r="M7" s="46">
        <f>$D$24*($E7/100)*$G7</f>
        <v/>
      </c>
    </row>
    <row r="8">
      <c r="A8" s="2" t="inlineStr">
        <is>
          <t>Overcast / shade</t>
        </is>
      </c>
      <c r="B8" s="45" t="n">
        <v>5000</v>
      </c>
      <c r="C8" s="11" t="n">
        <v>120</v>
      </c>
      <c r="D8" s="28">
        <f>B8/C8</f>
        <v/>
      </c>
      <c r="E8" s="46">
        <f>D8/10</f>
        <v/>
      </c>
      <c r="F8" s="47">
        <f>D8/1000</f>
        <v/>
      </c>
      <c r="G8" s="48">
        <f>15/18.4</f>
        <v/>
      </c>
      <c r="H8" s="13" t="n">
        <v>0.7</v>
      </c>
      <c r="I8" s="13" t="n">
        <v>1.5</v>
      </c>
      <c r="J8" s="13" t="n">
        <v>3</v>
      </c>
      <c r="K8" s="46">
        <f>IF($B8&lt;=1000,$E$22/1000*($E8/$E$5),$F$22*$E8*$B$22)</f>
        <v/>
      </c>
      <c r="L8" s="46">
        <f>$D$23*($E8/100)*$G8</f>
        <v/>
      </c>
      <c r="M8" s="46">
        <f>$D$24*($E8/100)*$G8</f>
        <v/>
      </c>
    </row>
    <row r="9">
      <c r="A9" s="2" t="inlineStr">
        <is>
          <t>Bright shade</t>
        </is>
      </c>
      <c r="B9" s="45" t="n">
        <v>20000</v>
      </c>
      <c r="C9" s="11" t="n">
        <v>120</v>
      </c>
      <c r="D9" s="28">
        <f>B9/C9</f>
        <v/>
      </c>
      <c r="E9" s="46">
        <f>D9/10</f>
        <v/>
      </c>
      <c r="F9" s="47">
        <f>D9/1000</f>
        <v/>
      </c>
      <c r="G9" s="48">
        <f>17/18.4</f>
        <v/>
      </c>
      <c r="H9" s="13" t="n">
        <v>0</v>
      </c>
      <c r="I9" s="13" t="n">
        <v>0</v>
      </c>
      <c r="J9" s="13" t="n">
        <v>3</v>
      </c>
      <c r="K9" s="46">
        <f>IF($B9&lt;=1000,$E$22/1000*($E9/$E$5),$F$22*$E9*$B$22)</f>
        <v/>
      </c>
      <c r="L9" s="46">
        <f>$D$23*($E9/100)*$G9</f>
        <v/>
      </c>
      <c r="M9" s="46">
        <f>$D$24*($E9/100)*$G9</f>
        <v/>
      </c>
    </row>
    <row r="10">
      <c r="A10" s="2" t="inlineStr">
        <is>
          <t>Partial sun</t>
        </is>
      </c>
      <c r="B10" s="45" t="n">
        <v>30000</v>
      </c>
      <c r="C10" s="11" t="n">
        <v>120</v>
      </c>
      <c r="D10" s="28">
        <f>B10/C10</f>
        <v/>
      </c>
      <c r="E10" s="46">
        <f>D10/10</f>
        <v/>
      </c>
      <c r="F10" s="47">
        <f>D10/1000</f>
        <v/>
      </c>
      <c r="G10" s="48">
        <f>17.5/18.4</f>
        <v/>
      </c>
      <c r="H10" s="13" t="n">
        <v>0.3</v>
      </c>
      <c r="I10" s="13" t="n">
        <v>1</v>
      </c>
      <c r="J10" s="13" t="n">
        <v>0</v>
      </c>
      <c r="K10" s="46">
        <f>IF($B10&lt;=1000,$E$22/1000*($E10/$E$5),$F$22*$E10*$B$22)</f>
        <v/>
      </c>
      <c r="L10" s="46">
        <f>$D$23*($E10/100)*$G10</f>
        <v/>
      </c>
      <c r="M10" s="46">
        <f>$D$24*($E10/100)*$G10</f>
        <v/>
      </c>
    </row>
    <row r="11">
      <c r="A11" s="2" t="inlineStr">
        <is>
          <t>Sunny</t>
        </is>
      </c>
      <c r="B11" s="45" t="n">
        <v>50000</v>
      </c>
      <c r="C11" s="11" t="n">
        <v>120</v>
      </c>
      <c r="D11" s="28">
        <f>B11/C11</f>
        <v/>
      </c>
      <c r="E11" s="46">
        <f>D11/10</f>
        <v/>
      </c>
      <c r="F11" s="47">
        <f>D11/1000</f>
        <v/>
      </c>
      <c r="G11" s="48">
        <f>18/18.4</f>
        <v/>
      </c>
      <c r="H11" s="13" t="n">
        <v>0</v>
      </c>
      <c r="I11" s="13" t="n">
        <v>0</v>
      </c>
      <c r="J11" s="13" t="n">
        <v>2</v>
      </c>
      <c r="K11" s="46">
        <f>IF($B11&lt;=1000,$E$22/1000*($E11/$E$5),$F$22*$E11*$B$22)</f>
        <v/>
      </c>
      <c r="L11" s="46">
        <f>$D$23*($E11/100)*$G11</f>
        <v/>
      </c>
      <c r="M11" s="46">
        <f>$D$24*($E11/100)*$G11</f>
        <v/>
      </c>
    </row>
    <row r="12">
      <c r="A12" s="36" t="inlineStr">
        <is>
          <t>Reference: 1 full sun</t>
        </is>
      </c>
      <c r="B12" s="49" t="n">
        <v>120000</v>
      </c>
      <c r="C12" s="42" t="n">
        <v>120</v>
      </c>
      <c r="D12" s="42">
        <f>B12/C12</f>
        <v/>
      </c>
      <c r="E12" s="37">
        <f>D12/10</f>
        <v/>
      </c>
      <c r="F12" s="28">
        <f>D12/1000</f>
        <v/>
      </c>
    </row>
    <row r="13" ht="28" customHeight="1">
      <c r="A13" s="3" t="inlineStr">
        <is>
          <t>Hours per day at each lux band are ESTIMATES from the research report; the rest of the day counts as zero light. Derating = mono-Si efficiency at that light divided by its 1-sun efficiency (UNVERIFIED snippets).</t>
        </is>
      </c>
    </row>
    <row r="14"/>
    <row r="15">
      <c r="A15" s="17" t="inlineStr">
        <is>
          <t>Profile</t>
        </is>
      </c>
      <c r="B15" s="17" t="inlineStr">
        <is>
          <t>Fraction of the time the face is uncovered by a sleeve</t>
        </is>
      </c>
    </row>
    <row r="16">
      <c r="A16" s="2" t="inlineStr">
        <is>
          <t>Office worker</t>
        </is>
      </c>
      <c r="B16" s="6" t="n">
        <v>0.7</v>
      </c>
      <c r="C16" s="7" t="inlineStr">
        <is>
          <t>ESTIMATES: no published source.</t>
        </is>
      </c>
    </row>
    <row r="17">
      <c r="A17" s="2" t="inlineStr">
        <is>
          <t>Commuter</t>
        </is>
      </c>
      <c r="B17" s="6" t="n">
        <v>0.6</v>
      </c>
    </row>
    <row r="18">
      <c r="A18" s="2" t="inlineStr">
        <is>
          <t>Outdoor enthusiast</t>
        </is>
      </c>
      <c r="B18" s="6" t="n">
        <v>0.8</v>
      </c>
    </row>
    <row r="19"/>
    <row r="20"/>
    <row r="21" ht="40" customHeight="1">
      <c r="A21" s="17" t="inlineStr">
        <is>
          <t>Cell</t>
        </is>
      </c>
      <c r="B21" s="17" t="inlineStr">
        <is>
          <t>Footprint area (cm2)</t>
        </is>
      </c>
      <c r="C21" s="17" t="inlineStr">
        <is>
          <t>Type</t>
        </is>
      </c>
      <c r="D21" s="17" t="inlineStr">
        <is>
          <t>Power at 1 sun (mW)</t>
        </is>
      </c>
      <c r="E21" s="17" t="inlineStr">
        <is>
          <t>Measured at 200 lux (uW)</t>
        </is>
      </c>
      <c r="F21" s="17" t="inlineStr">
        <is>
          <t>Outdoor efficiency (a-Si only)</t>
        </is>
      </c>
      <c r="G21" s="17" t="inlineStr">
        <is>
          <t>Size (mm)</t>
        </is>
      </c>
      <c r="H21" s="17" t="inlineStr">
        <is>
          <t>Status</t>
        </is>
      </c>
      <c r="I21" s="17" t="inlineStr">
        <is>
          <t>Length (mm)</t>
        </is>
      </c>
      <c r="J21" s="17" t="inlineStr">
        <is>
          <t>Width (mm)</t>
        </is>
      </c>
      <c r="K21" s="17" t="inlineStr">
        <is>
          <t>Thickness (mm)</t>
        </is>
      </c>
      <c r="L21" s="17" t="inlineStr">
        <is>
          <t>Buy it</t>
        </is>
      </c>
    </row>
    <row r="22">
      <c r="A22" s="36" t="inlineStr">
        <is>
          <t>AM-1606C</t>
        </is>
      </c>
      <c r="B22" s="28">
        <f>1.5*1.5</f>
        <v/>
      </c>
      <c r="C22" s="2" t="inlineStr">
        <is>
          <t>a-Si (glass)</t>
        </is>
      </c>
      <c r="E22" s="6" t="n">
        <v>8.84</v>
      </c>
      <c r="F22" s="10" t="n">
        <v>0.045</v>
      </c>
      <c r="G22" s="2" t="inlineStr">
        <is>
          <t>15 x 15 x 0.7</t>
        </is>
      </c>
      <c r="H22" s="7" t="inlineStr">
        <is>
          <t>200 lux VERIFIED (Panasonic catalog: 2.6 V x 3.4 uA). Outdoor efficiency 4.5% is an ESTIMATE (similar Amorton outdoor cells run 3.6-5.4%).</t>
        </is>
      </c>
      <c r="I22" s="50" t="n">
        <v>15</v>
      </c>
      <c r="J22" s="50" t="n">
        <v>15</v>
      </c>
      <c r="K22" s="50" t="n">
        <v>0.9</v>
      </c>
      <c r="L22" s="27" t="inlineStr">
        <is>
          <t>DigiKey (DISCONTINUED there, 640 left)</t>
        </is>
      </c>
    </row>
    <row r="23">
      <c r="A23" s="36" t="inlineStr">
        <is>
          <t>KXOB25-07X1TF</t>
        </is>
      </c>
      <c r="B23" s="28">
        <f>1.135*0.8</f>
        <v/>
      </c>
      <c r="C23" s="2" t="inlineStr">
        <is>
          <t>mono-Si</t>
        </is>
      </c>
      <c r="D23" s="13" t="n">
        <v>14.3</v>
      </c>
      <c r="G23" s="2" t="inlineStr">
        <is>
          <t>11.35 x 8 x 1.2</t>
        </is>
      </c>
      <c r="H23" s="7" t="inlineStr">
        <is>
          <t>1-sun power VERIFIED (Anysolar datasheet, preliminary). Low-light power is an ESTIMATE.</t>
        </is>
      </c>
      <c r="I23" s="50" t="n">
        <v>11.35</v>
      </c>
      <c r="J23" s="50" t="n">
        <v>8</v>
      </c>
      <c r="K23" s="50" t="n">
        <v>1.2</v>
      </c>
      <c r="L23" s="27" t="inlineStr">
        <is>
          <t>Anysolar datasheet (no live stock found)</t>
        </is>
      </c>
    </row>
    <row r="24">
      <c r="A24" s="36" t="inlineStr">
        <is>
          <t>KXOB081K06TF (yours)</t>
        </is>
      </c>
      <c r="B24" s="28">
        <f>2.3*2.5</f>
        <v/>
      </c>
      <c r="C24" s="2" t="inlineStr">
        <is>
          <t>mono-Si</t>
        </is>
      </c>
      <c r="D24" s="13" t="n">
        <v>105.9</v>
      </c>
      <c r="G24" s="2" t="inlineStr">
        <is>
          <t>23 x 25 x 1.2</t>
        </is>
      </c>
      <c r="H24" s="7" t="inlineStr">
        <is>
          <t>1-sun power VERIFIED (Anysolar datasheet, preliminary). Low-light power is an ESTIMATE.</t>
        </is>
      </c>
      <c r="I24" s="50" t="n">
        <v>23</v>
      </c>
      <c r="J24" s="50" t="n">
        <v>25</v>
      </c>
      <c r="K24" s="50" t="n">
        <v>1.2</v>
      </c>
      <c r="L24" s="27" t="inlineStr">
        <is>
          <t>DigiKey ($6.59, 2,754 on 10/06)</t>
        </is>
      </c>
    </row>
    <row r="25">
      <c r="A25" s="7" t="inlineStr">
        <is>
          <t>AM-1606C thickness: Panasonic's catalog says 0.7 mm, DigiKey's listing says 0.9 mm; the larger value is used here.</t>
        </is>
      </c>
    </row>
    <row r="26"/>
    <row r="27">
      <c r="A27" s="17" t="inlineStr">
        <is>
          <t>Harvest per day (mWh)</t>
        </is>
      </c>
      <c r="B27" s="17" t="inlineStr">
        <is>
          <t>Office worker</t>
        </is>
      </c>
      <c r="C27" s="17" t="inlineStr">
        <is>
          <t>Commuter</t>
        </is>
      </c>
      <c r="D27" s="17" t="inlineStr">
        <is>
          <t>Outdoor enthusiast</t>
        </is>
      </c>
    </row>
    <row r="28">
      <c r="A28" s="36" t="inlineStr">
        <is>
          <t>AM-1606C</t>
        </is>
      </c>
      <c r="B28" s="51">
        <f>SUMPRODUCT($H$5:$H$11,$K$5:$K$11)*Inputs!$B$39*$B$16*Inputs!$B$40*Inputs!$B$41*Inputs!$B$42</f>
        <v/>
      </c>
      <c r="C28" s="51">
        <f>SUMPRODUCT($I$5:$I$11,$K$5:$K$11)*Inputs!$B$39*$B$17*Inputs!$B$40*Inputs!$B$41*Inputs!$B$42</f>
        <v/>
      </c>
      <c r="D28" s="51">
        <f>SUMPRODUCT($J$5:$J$11,$K$5:$K$11)*Inputs!$B$39*$B$18*Inputs!$B$40*Inputs!$B$41*Inputs!$B$42</f>
        <v/>
      </c>
    </row>
    <row r="29">
      <c r="A29" s="36" t="inlineStr">
        <is>
          <t>KXOB25-07X1TF</t>
        </is>
      </c>
      <c r="B29" s="51">
        <f>SUMPRODUCT($H$5:$H$11,$L$5:$L$11)*Inputs!$B$39*$B$16*Inputs!$B$40*Inputs!$B$41*Inputs!$B$42</f>
        <v/>
      </c>
      <c r="C29" s="51">
        <f>SUMPRODUCT($I$5:$I$11,$L$5:$L$11)*Inputs!$B$39*$B$17*Inputs!$B$40*Inputs!$B$41*Inputs!$B$42</f>
        <v/>
      </c>
      <c r="D29" s="51">
        <f>SUMPRODUCT($J$5:$J$11,$L$5:$L$11)*Inputs!$B$39*$B$18*Inputs!$B$40*Inputs!$B$41*Inputs!$B$42</f>
        <v/>
      </c>
    </row>
    <row r="30">
      <c r="A30" s="36" t="inlineStr">
        <is>
          <t>KXOB081K06TF (yours)</t>
        </is>
      </c>
      <c r="B30" s="51">
        <f>SUMPRODUCT($H$5:$H$11,$M$5:$M$11)*Inputs!$B$39*$B$16*Inputs!$B$40*Inputs!$B$41*Inputs!$B$42</f>
        <v/>
      </c>
      <c r="C30" s="51">
        <f>SUMPRODUCT($I$5:$I$11,$M$5:$M$11)*Inputs!$B$39*$B$17*Inputs!$B$40*Inputs!$B$41*Inputs!$B$42</f>
        <v/>
      </c>
      <c r="D30" s="51">
        <f>SUMPRODUCT($J$5:$J$11,$M$5:$M$11)*Inputs!$B$39*$B$18*Inputs!$B$40*Inputs!$B$41*Inputs!$B$42</f>
        <v/>
      </c>
    </row>
    <row r="31"/>
    <row r="32" ht="28" customHeight="1">
      <c r="A32" s="3" t="inlineStr">
        <is>
          <t>Harvest = sum over light bands of (hours x cell power) x wrist x sleeve x optical x harvester x charge efficiency. Compare with the daily load on the 'Power budget' tab.</t>
        </is>
      </c>
    </row>
  </sheetData>
  <mergeCells count="3">
    <mergeCell ref="A32:M32"/>
    <mergeCell ref="A13:M13"/>
    <mergeCell ref="A2:M2"/>
  </mergeCells>
  <hyperlinks>
    <hyperlink xmlns:r="http://schemas.openxmlformats.org/officeDocument/2006/relationships" ref="L22" r:id="rId1"/>
    <hyperlink xmlns:r="http://schemas.openxmlformats.org/officeDocument/2006/relationships" ref="L23" r:id="rId2"/>
    <hyperlink xmlns:r="http://schemas.openxmlformats.org/officeDocument/2006/relationships" ref="L2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7" customWidth="1" min="2" max="2"/>
    <col width="30" customWidth="1" min="3" max="3"/>
    <col width="14" customWidth="1" min="4" max="4"/>
    <col width="16" customWidth="1" min="5" max="5"/>
    <col width="16" customWidth="1" min="6" max="6"/>
    <col width="12" customWidth="1" min="7" max="7"/>
    <col width="16" customWidth="1" min="8" max="8"/>
    <col width="14" customWidth="1" min="9" max="9"/>
    <col width="14" customWidth="1" min="10" max="10"/>
    <col width="18" customWidth="1" min="11" max="11"/>
    <col width="60" customWidth="1" min="12" max="12"/>
    <col width="12" customWidth="1" min="13" max="13"/>
  </cols>
  <sheetData>
    <row r="1">
      <c r="A1" s="1" t="inlineStr">
        <is>
          <t>Parts list for the current picks, with cost and every link</t>
        </is>
      </c>
    </row>
    <row r="2" ht="34" customHeight="1">
      <c r="A2" s="3" t="inlineStr">
        <is>
          <t>Quantities follow your picks on Inputs. Unit price uses the 'Where to buy' choice (row 61). DigiKey/Mouser/JLCPCB data checked 2026-10-08 unless noted. 'n/a' means I did not fetch it. Prices are at the quantity shown (1 watch); volume pricing is lower.</t>
        </is>
      </c>
    </row>
    <row r="3"/>
    <row r="4" ht="44" customHeight="1">
      <c r="A4" s="17" t="inlineStr">
        <is>
          <t>Part</t>
        </is>
      </c>
      <c r="B4" s="17" t="inlineStr">
        <is>
          <t>Qty</t>
        </is>
      </c>
      <c r="C4" s="17" t="inlineStr">
        <is>
          <t>DigiKey / Mouser part</t>
        </is>
      </c>
      <c r="D4" s="17" t="inlineStr">
        <is>
          <t>DigiKey / Mouser stock</t>
        </is>
      </c>
      <c r="E4" s="17" t="inlineStr">
        <is>
          <t>DigiKey / Mouser price (USD)</t>
        </is>
      </c>
      <c r="F4" s="17" t="inlineStr">
        <is>
          <t>JLCPCB part</t>
        </is>
      </c>
      <c r="G4" s="17" t="inlineStr">
        <is>
          <t>JLCPCB stock</t>
        </is>
      </c>
      <c r="H4" s="17" t="inlineStr">
        <is>
          <t>JLCPCB price (USD)</t>
        </is>
      </c>
      <c r="I4" s="17" t="inlineStr">
        <is>
          <t>Unit price used (USD)</t>
        </is>
      </c>
      <c r="J4" s="17" t="inlineStr">
        <is>
          <t>Line cost (USD)</t>
        </is>
      </c>
      <c r="K4" s="17" t="inlineStr">
        <is>
          <t>Links</t>
        </is>
      </c>
      <c r="L4" s="17" t="inlineStr">
        <is>
          <t>Notes</t>
        </is>
      </c>
      <c r="M4" s="17" t="inlineStr">
        <is>
          <t>JLCPCB link</t>
        </is>
      </c>
    </row>
    <row r="5">
      <c r="A5" s="36" t="inlineStr">
        <is>
          <t>Hour LEDs</t>
        </is>
      </c>
      <c r="B5" s="42" t="n">
        <v>12</v>
      </c>
      <c r="C5" s="2">
        <f>INDEX(LEDs!$B$17:$G$17,MATCH(Inputs!$B$56,LEDs!$B$4:$G$4,0))</f>
        <v/>
      </c>
      <c r="D5" s="49">
        <f>INDEX(LEDs!$B$18:$G$18,MATCH(Inputs!$B$56,LEDs!$B$4:$G$4,0))</f>
        <v/>
      </c>
      <c r="E5" s="52">
        <f>IF(ISNUMBER(INDEX(LEDs!$B$20:$G$20,MATCH(Inputs!$B$56,LEDs!$B$4:$G$4,0))),INDEX(LEDs!$B$20:$G$20,MATCH(Inputs!$B$56,LEDs!$B$4:$G$4,0)),INDEX(LEDs!$B$19:$G$19,MATCH(Inputs!$B$56,LEDs!$B$4:$G$4,0)))</f>
        <v/>
      </c>
      <c r="F5" s="2">
        <f>INDEX(LEDs!$B$24:$G$24,MATCH(Inputs!$B$56,LEDs!$B$4:$G$4,0))</f>
        <v/>
      </c>
      <c r="G5" s="49">
        <f>INDEX(LEDs!$B$26:$G$26,MATCH(Inputs!$B$56,LEDs!$B$4:$G$4,0))</f>
        <v/>
      </c>
      <c r="H5" s="52">
        <f>INDEX(LEDs!$B$27:$G$27,MATCH(Inputs!$B$56,LEDs!$B$4:$G$4,0))</f>
        <v/>
      </c>
      <c r="I5" s="52">
        <f>IF(Inputs!$B$61="JLCPCB / LCSC",IF(ISNUMBER(H5),H5,IF(ISNUMBER(E5),E5,0)),IF(ISNUMBER(E5),E5,IF(ISNUMBER(H5),H5,0)))</f>
        <v/>
      </c>
      <c r="J5" s="53">
        <f>B5*I5</f>
        <v/>
      </c>
      <c r="K5" s="2" t="inlineStr">
        <is>
          <t>see the LEDs tab</t>
        </is>
      </c>
      <c r="L5" s="7">
        <f>"Pick: "&amp;Inputs!$B$56</f>
        <v/>
      </c>
    </row>
    <row r="6">
      <c r="A6" s="36" t="inlineStr">
        <is>
          <t>Minute LEDs</t>
        </is>
      </c>
      <c r="B6" s="42" t="n">
        <v>60</v>
      </c>
      <c r="C6" s="2">
        <f>INDEX(LEDs!$B$17:$G$17,MATCH(Inputs!$B$57,LEDs!$B$4:$G$4,0))</f>
        <v/>
      </c>
      <c r="D6" s="49">
        <f>INDEX(LEDs!$B$18:$G$18,MATCH(Inputs!$B$57,LEDs!$B$4:$G$4,0))</f>
        <v/>
      </c>
      <c r="E6" s="52">
        <f>IF(ISNUMBER(INDEX(LEDs!$B$20:$G$20,MATCH(Inputs!$B$57,LEDs!$B$4:$G$4,0))),INDEX(LEDs!$B$20:$G$20,MATCH(Inputs!$B$57,LEDs!$B$4:$G$4,0)),INDEX(LEDs!$B$19:$G$19,MATCH(Inputs!$B$57,LEDs!$B$4:$G$4,0)))</f>
        <v/>
      </c>
      <c r="F6" s="2">
        <f>INDEX(LEDs!$B$24:$G$24,MATCH(Inputs!$B$57,LEDs!$B$4:$G$4,0))</f>
        <v/>
      </c>
      <c r="G6" s="49">
        <f>INDEX(LEDs!$B$26:$G$26,MATCH(Inputs!$B$57,LEDs!$B$4:$G$4,0))</f>
        <v/>
      </c>
      <c r="H6" s="52">
        <f>INDEX(LEDs!$B$27:$G$27,MATCH(Inputs!$B$57,LEDs!$B$4:$G$4,0))</f>
        <v/>
      </c>
      <c r="I6" s="52">
        <f>IF(Inputs!$B$61="JLCPCB / LCSC",IF(ISNUMBER(H6),H6,IF(ISNUMBER(E6),E6,0)),IF(ISNUMBER(E6),E6,IF(ISNUMBER(H6),H6,0)))</f>
        <v/>
      </c>
      <c r="J6" s="53">
        <f>B6*I6</f>
        <v/>
      </c>
      <c r="K6" s="2" t="inlineStr">
        <is>
          <t>see the LEDs tab</t>
        </is>
      </c>
      <c r="L6" s="7">
        <f>"Pick: "&amp;Inputs!$B$57</f>
        <v/>
      </c>
    </row>
    <row r="7">
      <c r="A7" s="36" t="inlineStr">
        <is>
          <t>Second LEDs</t>
        </is>
      </c>
      <c r="B7" s="42" t="n">
        <v>60</v>
      </c>
      <c r="C7" s="2">
        <f>INDEX(LEDs!$B$17:$G$17,MATCH(Inputs!$B$58,LEDs!$B$4:$G$4,0))</f>
        <v/>
      </c>
      <c r="D7" s="49">
        <f>INDEX(LEDs!$B$18:$G$18,MATCH(Inputs!$B$58,LEDs!$B$4:$G$4,0))</f>
        <v/>
      </c>
      <c r="E7" s="52">
        <f>IF(ISNUMBER(INDEX(LEDs!$B$20:$G$20,MATCH(Inputs!$B$58,LEDs!$B$4:$G$4,0))),INDEX(LEDs!$B$20:$G$20,MATCH(Inputs!$B$58,LEDs!$B$4:$G$4,0)),INDEX(LEDs!$B$19:$G$19,MATCH(Inputs!$B$58,LEDs!$B$4:$G$4,0)))</f>
        <v/>
      </c>
      <c r="F7" s="2">
        <f>INDEX(LEDs!$B$24:$G$24,MATCH(Inputs!$B$58,LEDs!$B$4:$G$4,0))</f>
        <v/>
      </c>
      <c r="G7" s="49">
        <f>INDEX(LEDs!$B$26:$G$26,MATCH(Inputs!$B$58,LEDs!$B$4:$G$4,0))</f>
        <v/>
      </c>
      <c r="H7" s="52">
        <f>INDEX(LEDs!$B$27:$G$27,MATCH(Inputs!$B$58,LEDs!$B$4:$G$4,0))</f>
        <v/>
      </c>
      <c r="I7" s="52">
        <f>IF(Inputs!$B$61="JLCPCB / LCSC",IF(ISNUMBER(H7),H7,IF(ISNUMBER(E7),E7,0)),IF(ISNUMBER(E7),E7,IF(ISNUMBER(H7),H7,0)))</f>
        <v/>
      </c>
      <c r="J7" s="53">
        <f>B7*I7</f>
        <v/>
      </c>
      <c r="K7" s="2" t="inlineStr">
        <is>
          <t>see the LEDs tab</t>
        </is>
      </c>
      <c r="L7" s="7">
        <f>"Pick: "&amp;Inputs!$B$58</f>
        <v/>
      </c>
    </row>
    <row r="8">
      <c r="A8" s="36" t="inlineStr">
        <is>
          <t>MCU AVR128DB48-I/PT</t>
        </is>
      </c>
      <c r="B8" s="42" t="n">
        <v>1</v>
      </c>
      <c r="C8" s="2" t="inlineStr">
        <is>
          <t>150-AVR128DB48-I/PT-ND</t>
        </is>
      </c>
      <c r="D8" s="49" t="n">
        <v>217</v>
      </c>
      <c r="E8" s="54" t="n">
        <v>2.16</v>
      </c>
      <c r="F8" s="2" t="inlineStr">
        <is>
          <t>C1019766</t>
        </is>
      </c>
      <c r="G8" s="49" t="n">
        <v>60</v>
      </c>
      <c r="H8" s="54" t="n">
        <v>5.38</v>
      </c>
      <c r="I8" s="52">
        <f>IF(Inputs!$B$61="JLCPCB / LCSC",IF(ISNUMBER(H8),H8,IF(ISNUMBER(E8),E8,0)),IF(ISNUMBER(E8),E8,IF(ISNUMBER(H8),H8,0)))</f>
        <v/>
      </c>
      <c r="J8" s="53">
        <f>B8*I8</f>
        <v/>
      </c>
      <c r="K8" s="27" t="inlineStr">
        <is>
          <t>DigiKey</t>
        </is>
      </c>
      <c r="L8" s="3" t="inlineStr">
        <is>
          <t>Only 60 at JLCPCB and 217 at DigiKey: thin supply for a prototype run.</t>
        </is>
      </c>
      <c r="M8" s="27" t="inlineStr">
        <is>
          <t>JLCPCB</t>
        </is>
      </c>
    </row>
    <row r="9">
      <c r="A9" s="36" t="inlineStr">
        <is>
          <t>Motion sensor BMI270</t>
        </is>
      </c>
      <c r="B9" s="42">
        <f>IF(ISNUMBER(SEARCH("BMI270",Inputs!$B$32&amp;Inputs!$B$51)),1,0)</f>
        <v/>
      </c>
      <c r="C9" s="2" t="inlineStr">
        <is>
          <t>828-1091-2-ND</t>
        </is>
      </c>
      <c r="D9" s="49" t="n">
        <v>50792</v>
      </c>
      <c r="E9" s="54" t="n">
        <v>4.23</v>
      </c>
      <c r="F9" s="2" t="inlineStr">
        <is>
          <t>C2836813</t>
        </is>
      </c>
      <c r="G9" s="49" t="n">
        <v>7628</v>
      </c>
      <c r="H9" s="54" t="n">
        <v>2.64</v>
      </c>
      <c r="I9" s="52">
        <f>IF(Inputs!$B$61="JLCPCB / LCSC",IF(ISNUMBER(H9),H9,IF(ISNUMBER(E9),E9,0)),IF(ISNUMBER(E9),E9,IF(ISNUMBER(H9),H9,0)))</f>
        <v/>
      </c>
      <c r="J9" s="53">
        <f>B9*I9</f>
        <v/>
      </c>
      <c r="K9" s="27" t="inlineStr">
        <is>
          <t>DigiKey</t>
        </is>
      </c>
      <c r="L9" s="3" t="inlineStr"/>
      <c r="M9" s="27" t="inlineStr">
        <is>
          <t>JLCPCB</t>
        </is>
      </c>
    </row>
    <row r="10">
      <c r="A10" s="36" t="inlineStr">
        <is>
          <t>Motion sensor BMA400</t>
        </is>
      </c>
      <c r="B10" s="42">
        <f>IF(ISNUMBER(SEARCH("BMA400",Inputs!$B$32&amp;Inputs!$B$51)),1,0)</f>
        <v/>
      </c>
      <c r="C10" s="2" t="inlineStr">
        <is>
          <t>828-1081-2-ND</t>
        </is>
      </c>
      <c r="D10" s="49" t="n">
        <v>0</v>
      </c>
      <c r="E10" s="54" t="n">
        <v>2.48</v>
      </c>
      <c r="F10" s="2" t="inlineStr">
        <is>
          <t>not checked</t>
        </is>
      </c>
      <c r="G10" s="49" t="inlineStr">
        <is>
          <t>n/a</t>
        </is>
      </c>
      <c r="H10" s="54" t="inlineStr">
        <is>
          <t>n/a</t>
        </is>
      </c>
      <c r="I10" s="52">
        <f>IF(Inputs!$B$61="JLCPCB / LCSC",IF(ISNUMBER(H10),H10,IF(ISNUMBER(E10),E10,0)),IF(ISNUMBER(E10),E10,IF(ISNUMBER(H10),H10,0)))</f>
        <v/>
      </c>
      <c r="J10" s="53">
        <f>B10*I10</f>
        <v/>
      </c>
      <c r="K10" s="27" t="inlineStr">
        <is>
          <t>DigiKey</t>
        </is>
      </c>
      <c r="L10" s="3" t="inlineStr">
        <is>
          <t>ZERO stock at DigiKey US on every listing.</t>
        </is>
      </c>
    </row>
    <row r="11">
      <c r="A11" s="36" t="inlineStr">
        <is>
          <t>Motion sensor LIS2DW12</t>
        </is>
      </c>
      <c r="B11" s="42">
        <f>IF(ISNUMBER(SEARCH("LIS2DW12",Inputs!$B$32)),1,0)</f>
        <v/>
      </c>
      <c r="C11" s="2" t="inlineStr">
        <is>
          <t>497-17718-2-ND</t>
        </is>
      </c>
      <c r="D11" s="49" t="n">
        <v>0</v>
      </c>
      <c r="E11" s="54" t="n">
        <v>1.38</v>
      </c>
      <c r="F11" s="2" t="inlineStr">
        <is>
          <t>C189624</t>
        </is>
      </c>
      <c r="G11" s="49" t="n">
        <v>19750</v>
      </c>
      <c r="H11" s="54" t="n">
        <v>1.19</v>
      </c>
      <c r="I11" s="52">
        <f>IF(Inputs!$B$61="JLCPCB / LCSC",IF(ISNUMBER(H11),H11,IF(ISNUMBER(E11),E11,0)),IF(ISNUMBER(E11),E11,IF(ISNUMBER(H11),H11,0)))</f>
        <v/>
      </c>
      <c r="J11" s="53">
        <f>B11*I11</f>
        <v/>
      </c>
      <c r="K11" s="27" t="inlineStr">
        <is>
          <t>DigiKey</t>
        </is>
      </c>
      <c r="L11" s="3" t="inlineStr">
        <is>
          <t>In stock at JLCPCB only.</t>
        </is>
      </c>
      <c r="M11" s="27" t="inlineStr">
        <is>
          <t>JLCPCB</t>
        </is>
      </c>
    </row>
    <row r="12">
      <c r="A12" s="36" t="inlineStr">
        <is>
          <t>Charger MCP73831T-2ACI/OT (Variant A)</t>
        </is>
      </c>
      <c r="B12" s="42">
        <f>IF(Inputs!$B$60="A: pad-charged",1,0)</f>
        <v/>
      </c>
      <c r="C12" s="2" t="inlineStr">
        <is>
          <t>MCP73831T-2ACI/OTTR-ND</t>
        </is>
      </c>
      <c r="D12" s="49" t="n">
        <v>33567</v>
      </c>
      <c r="E12" s="54" t="n">
        <v>0.76</v>
      </c>
      <c r="F12" s="2" t="inlineStr">
        <is>
          <t>C424093</t>
        </is>
      </c>
      <c r="G12" s="49" t="n">
        <v>5708</v>
      </c>
      <c r="H12" s="54" t="n">
        <v>0.79</v>
      </c>
      <c r="I12" s="52">
        <f>IF(Inputs!$B$61="JLCPCB / LCSC",IF(ISNUMBER(H12),H12,IF(ISNUMBER(E12),E12,0)),IF(ISNUMBER(E12),E12,IF(ISNUMBER(H12),H12,0)))</f>
        <v/>
      </c>
      <c r="J12" s="53">
        <f>B12*I12</f>
        <v/>
      </c>
      <c r="K12" s="27" t="inlineStr">
        <is>
          <t>DigiKey</t>
        </is>
      </c>
      <c r="L12" s="3" t="inlineStr">
        <is>
          <t>JLCPCB figures are from 2026-10-05 (not re-checked).</t>
        </is>
      </c>
      <c r="M12" s="27" t="inlineStr">
        <is>
          <t>JLCPCB</t>
        </is>
      </c>
    </row>
    <row r="13">
      <c r="A13" s="36" t="inlineStr">
        <is>
          <t>3.3 V LDO MCP1700T-3302E/TT (Variant A)</t>
        </is>
      </c>
      <c r="B13" s="42">
        <f>IF(Inputs!$B$60="A: pad-charged",1,0)</f>
        <v/>
      </c>
      <c r="C13" s="2" t="inlineStr">
        <is>
          <t>MCP1700T3302ETTTR-ND</t>
        </is>
      </c>
      <c r="D13" s="49" t="n">
        <v>0</v>
      </c>
      <c r="E13" s="54" t="n">
        <v>0.51</v>
      </c>
      <c r="F13" s="2" t="inlineStr">
        <is>
          <t>C39051</t>
        </is>
      </c>
      <c r="G13" s="49" t="inlineStr">
        <is>
          <t>n/a</t>
        </is>
      </c>
      <c r="H13" s="54" t="inlineStr">
        <is>
          <t>n/a</t>
        </is>
      </c>
      <c r="I13" s="52">
        <f>IF(Inputs!$B$61="JLCPCB / LCSC",IF(ISNUMBER(H13),H13,IF(ISNUMBER(E13),E13,0)),IF(ISNUMBER(E13),E13,IF(ISNUMBER(H13),H13,0)))</f>
        <v/>
      </c>
      <c r="J13" s="53">
        <f>B13*I13</f>
        <v/>
      </c>
      <c r="K13" s="27" t="inlineStr">
        <is>
          <t>DigiKey</t>
        </is>
      </c>
      <c r="L13" s="3" t="inlineStr">
        <is>
          <t>Zero stock at DigiKey; LCSC stock not checked.</t>
        </is>
      </c>
      <c r="M13" s="27" t="inlineStr">
        <is>
          <t>JLCPCB</t>
        </is>
      </c>
    </row>
    <row r="14">
      <c r="A14" s="36" t="inlineStr">
        <is>
          <t>Harvester BQ25570RGRR (Variant B)</t>
        </is>
      </c>
      <c r="B14" s="42">
        <f>IF(Inputs!$B$60="B: solar harvester",1,0)</f>
        <v/>
      </c>
      <c r="C14" s="2" t="inlineStr">
        <is>
          <t>296-39934-2-ND</t>
        </is>
      </c>
      <c r="D14" s="49" t="n">
        <v>8455</v>
      </c>
      <c r="E14" s="54" t="n">
        <v>8.869999999999999</v>
      </c>
      <c r="F14" s="2" t="inlineStr">
        <is>
          <t>C506250</t>
        </is>
      </c>
      <c r="G14" s="49" t="n">
        <v>476</v>
      </c>
      <c r="H14" s="54" t="n">
        <v>5.82</v>
      </c>
      <c r="I14" s="52">
        <f>IF(Inputs!$B$61="JLCPCB / LCSC",IF(ISNUMBER(H14),H14,IF(ISNUMBER(E14),E14,0)),IF(ISNUMBER(E14),E14,IF(ISNUMBER(H14),H14,0)))</f>
        <v/>
      </c>
      <c r="J14" s="53">
        <f>B14*I14</f>
        <v/>
      </c>
      <c r="K14" s="27" t="inlineStr">
        <is>
          <t>DigiKey</t>
        </is>
      </c>
      <c r="L14" s="3" t="inlineStr">
        <is>
          <t>Needs a custom footprint (RGR package) and a protected LiPo (UV cut-off fixed at 1.95 V).</t>
        </is>
      </c>
      <c r="M14" s="27" t="inlineStr">
        <is>
          <t>JLCPCB</t>
        </is>
      </c>
    </row>
    <row r="15">
      <c r="A15" s="36" t="inlineStr">
        <is>
          <t>32.768 kHz crystal ABS07-32.768KHZ-T</t>
        </is>
      </c>
      <c r="B15" s="42" t="n">
        <v>1</v>
      </c>
      <c r="C15" s="2" t="inlineStr">
        <is>
          <t>535-9542-2-ND</t>
        </is>
      </c>
      <c r="D15" s="49" t="n">
        <v>525316</v>
      </c>
      <c r="E15" s="54" t="n">
        <v>0.61</v>
      </c>
      <c r="F15" s="2" t="inlineStr">
        <is>
          <t>C130253</t>
        </is>
      </c>
      <c r="G15" s="49" t="inlineStr">
        <is>
          <t>n/a</t>
        </is>
      </c>
      <c r="H15" s="54" t="n">
        <v>0.73</v>
      </c>
      <c r="I15" s="52">
        <f>IF(Inputs!$B$61="JLCPCB / LCSC",IF(ISNUMBER(H15),H15,IF(ISNUMBER(E15),E15,0)),IF(ISNUMBER(E15),E15,IF(ISNUMBER(H15),H15,0)))</f>
        <v/>
      </c>
      <c r="J15" s="53">
        <f>B15*I15</f>
        <v/>
      </c>
      <c r="K15" s="27" t="inlineStr">
        <is>
          <t>DigiKey</t>
        </is>
      </c>
      <c r="L15" s="3" t="inlineStr">
        <is>
          <t>JLCPCB price estimated from the 2026-10-05 BOM match; stock not re-checked.</t>
        </is>
      </c>
      <c r="M15" s="27" t="inlineStr">
        <is>
          <t>JLCPCB</t>
        </is>
      </c>
    </row>
    <row r="16">
      <c r="A16" s="36" t="inlineStr">
        <is>
          <t>JST SM02B-SRSS-TB(LF)(SN) battery connector</t>
        </is>
      </c>
      <c r="B16" s="42" t="n">
        <v>1</v>
      </c>
      <c r="C16" s="2" t="inlineStr">
        <is>
          <t>455-SM02B-SRSS-TBTR-ND</t>
        </is>
      </c>
      <c r="D16" s="49" t="n">
        <v>66088</v>
      </c>
      <c r="E16" s="54" t="inlineStr">
        <is>
          <t>n/a</t>
        </is>
      </c>
      <c r="F16" s="2" t="inlineStr">
        <is>
          <t>C160402</t>
        </is>
      </c>
      <c r="G16" s="49" t="n">
        <v>27798</v>
      </c>
      <c r="H16" s="54" t="inlineStr">
        <is>
          <t>n/a</t>
        </is>
      </c>
      <c r="I16" s="52">
        <f>IF(Inputs!$B$61="JLCPCB / LCSC",IF(ISNUMBER(H16),H16,IF(ISNUMBER(E16),E16,0)),IF(ISNUMBER(E16),E16,IF(ISNUMBER(H16),H16,0)))</f>
        <v/>
      </c>
      <c r="J16" s="53">
        <f>B16*I16</f>
        <v/>
      </c>
      <c r="K16" s="27" t="inlineStr">
        <is>
          <t>DigiKey</t>
        </is>
      </c>
      <c r="L16" s="3" t="inlineStr">
        <is>
          <t>Use the (LF)(SN) listing C160402 (27,798 in stock 2026-10-09); the plain SM02B-SRSS-TB listing C18337480 has 0 stock.</t>
        </is>
      </c>
      <c r="M16" s="27" t="inlineStr">
        <is>
          <t>JLCPCB</t>
        </is>
      </c>
    </row>
    <row r="17">
      <c r="A17" s="36" t="inlineStr">
        <is>
          <t>Buttons TS21-34-035-BK-260-SMT-TR</t>
        </is>
      </c>
      <c r="B17" s="42" t="n">
        <v>2</v>
      </c>
      <c r="C17" s="2" t="inlineStr">
        <is>
          <t>2223-TS21-34-035-BK-260-SMT-TR-ND</t>
        </is>
      </c>
      <c r="D17" s="49" t="n">
        <v>39050</v>
      </c>
      <c r="E17" s="54" t="inlineStr">
        <is>
          <t>n/a</t>
        </is>
      </c>
      <c r="F17" s="2" t="inlineStr">
        <is>
          <t>not matched</t>
        </is>
      </c>
      <c r="G17" s="49" t="inlineStr">
        <is>
          <t>n/a</t>
        </is>
      </c>
      <c r="H17" s="54" t="inlineStr">
        <is>
          <t>n/a</t>
        </is>
      </c>
      <c r="I17" s="52">
        <f>IF(Inputs!$B$61="JLCPCB / LCSC",IF(ISNUMBER(H17),H17,IF(ISNUMBER(E17),E17,0)),IF(ISNUMBER(E17),E17,IF(ISNUMBER(H17),H17,0)))</f>
        <v/>
      </c>
      <c r="J17" s="53">
        <f>B17*I17</f>
        <v/>
      </c>
      <c r="K17" s="27" t="inlineStr">
        <is>
          <t>DigiKey</t>
        </is>
      </c>
      <c r="L17" s="3" t="inlineStr">
        <is>
          <t>Price not fetched; stock from the 10/06 list page. KiCad footprint used is a generic KMR2.</t>
        </is>
      </c>
    </row>
    <row r="18">
      <c r="A18" s="36" t="inlineStr">
        <is>
          <t>Small passives (about $0.02 each)</t>
        </is>
      </c>
      <c r="B18" s="42">
        <f>IF(Inputs!$B$60="A: pad-charged",20,34)</f>
        <v/>
      </c>
      <c r="C18" s="2" t="inlineStr">
        <is>
          <t>generic</t>
        </is>
      </c>
      <c r="D18" s="49" t="inlineStr">
        <is>
          <t>n/a</t>
        </is>
      </c>
      <c r="E18" s="54" t="n">
        <v>0.02</v>
      </c>
      <c r="F18" s="2" t="inlineStr">
        <is>
          <t>generic</t>
        </is>
      </c>
      <c r="G18" s="49" t="inlineStr">
        <is>
          <t>n/a</t>
        </is>
      </c>
      <c r="H18" s="54" t="n">
        <v>0.02</v>
      </c>
      <c r="I18" s="52">
        <f>IF(Inputs!$B$61="JLCPCB / LCSC",IF(ISNUMBER(H18),H18,IF(ISNUMBER(E18),E18,0)),IF(ISNUMBER(E18),E18,IF(ISNUMBER(H18),H18,0)))</f>
        <v/>
      </c>
      <c r="J18" s="53">
        <f>B18*I18</f>
        <v/>
      </c>
      <c r="L18" s="3" t="inlineStr">
        <is>
          <t>ESTIMATE.</t>
        </is>
      </c>
    </row>
    <row r="19">
      <c r="A19" s="36" t="inlineStr">
        <is>
          <t>Solar cell (Variant B)</t>
        </is>
      </c>
      <c r="B19" s="42">
        <f>IF(Inputs!$B$60="B: solar harvester",1,0)</f>
        <v/>
      </c>
      <c r="C19" s="2">
        <f>CHOOSE(MATCH(Inputs!B37,Solar!$A$22:$A$24,0),"11-AM-1606C-ND","not at DigiKey","2994-KXOB081K06TF-TR-ND")</f>
        <v/>
      </c>
      <c r="D19" s="49">
        <f>CHOOSE(MATCH(Inputs!B37,Solar!$A$22:$A$24,0),640,"n/a",2754)</f>
        <v/>
      </c>
      <c r="E19" s="54">
        <f>CHOOSE(MATCH(Inputs!B37,Solar!$A$22:$A$24,0),3.14,"n/a",6.59)</f>
        <v/>
      </c>
      <c r="F19" s="2" t="inlineStr">
        <is>
          <t>-</t>
        </is>
      </c>
      <c r="G19" s="2" t="inlineStr">
        <is>
          <t>-</t>
        </is>
      </c>
      <c r="H19" s="2" t="inlineStr">
        <is>
          <t>-</t>
        </is>
      </c>
      <c r="I19" s="52">
        <f>IF(Inputs!$B$61="JLCPCB / LCSC",IF(ISNUMBER(H19),H19,IF(ISNUMBER(E19),E19,0)),IF(ISNUMBER(E19),E19,IF(ISNUMBER(H19),H19,0)))</f>
        <v/>
      </c>
      <c r="J19" s="53">
        <f>B19*I19</f>
        <v/>
      </c>
      <c r="K19" s="27" t="inlineStr">
        <is>
          <t>see Solar tab for each cell</t>
        </is>
      </c>
      <c r="L19" s="3" t="inlineStr">
        <is>
          <t>AM-1606C is discontinued at DigiKey; KXOB25-07X1TF has no live stock found (ask Anysolar); the price shown for it is n/a.</t>
        </is>
      </c>
    </row>
    <row r="20">
      <c r="A20" s="36" t="inlineStr">
        <is>
          <t>Battery (picked)</t>
        </is>
      </c>
      <c r="B20" s="42" t="n">
        <v>1</v>
      </c>
      <c r="C20" s="2">
        <f>INDEX(Batteries!$B$21:$E$21,MATCH(Inputs!B59,Batteries!$B$4:$E$4,0))</f>
        <v/>
      </c>
      <c r="D20" s="49">
        <f>INDEX(Batteries!$B$22:$E$22,MATCH(Inputs!B59,Batteries!$B$4:$E$4,0))</f>
        <v/>
      </c>
      <c r="E20" s="54">
        <f>INDEX(Batteries!$B$23:$E$23,MATCH(Inputs!B59,Batteries!$B$4:$E$4,0))</f>
        <v/>
      </c>
      <c r="F20" s="2" t="inlineStr">
        <is>
          <t>-</t>
        </is>
      </c>
      <c r="G20" s="2" t="inlineStr">
        <is>
          <t>-</t>
        </is>
      </c>
      <c r="H20" s="2" t="inlineStr">
        <is>
          <t>-</t>
        </is>
      </c>
      <c r="I20" s="52">
        <f>IF(Inputs!$B$61="JLCPCB / LCSC",IF(ISNUMBER(H20),H20,IF(ISNUMBER(E20),E20,0)),IF(ISNUMBER(E20),E20,IF(ISNUMBER(H20),H20,0)))</f>
        <v/>
      </c>
      <c r="J20" s="53">
        <f>B20*I20</f>
        <v/>
      </c>
      <c r="K20" s="27" t="inlineStr">
        <is>
          <t>Renata ICP at Mouser</t>
        </is>
      </c>
      <c r="L20" s="3" t="inlineStr">
        <is>
          <t>Mouser is the only source found; JLCPCB does not stock Renata cells.</t>
        </is>
      </c>
    </row>
    <row r="21">
      <c r="A21" s="36" t="inlineStr">
        <is>
          <t>Bare PCB, per watch (placeholder)</t>
        </is>
      </c>
      <c r="B21" s="42" t="n">
        <v>1</v>
      </c>
      <c r="C21" s="2" t="inlineStr">
        <is>
          <t>-</t>
        </is>
      </c>
      <c r="D21" s="2" t="inlineStr">
        <is>
          <t>-</t>
        </is>
      </c>
      <c r="E21" s="54">
        <f>61.65/5</f>
        <v/>
      </c>
      <c r="F21" s="2" t="inlineStr">
        <is>
          <t>-</t>
        </is>
      </c>
      <c r="G21" s="2" t="inlineStr">
        <is>
          <t>-</t>
        </is>
      </c>
      <c r="H21" s="54">
        <f>61.65/5</f>
        <v/>
      </c>
      <c r="I21" s="52">
        <f>IF(Inputs!$B$61="JLCPCB / LCSC",IF(ISNUMBER(H21),H21,IF(ISNUMBER(E21),E21,0)),IF(ISNUMBER(E21),E21,IF(ISNUMBER(H21),H21,0)))</f>
        <v/>
      </c>
      <c r="J21" s="53">
        <f>B21*I21</f>
        <v/>
      </c>
      <c r="L21" s="3" t="inlineStr">
        <is>
          <t>ESTIMATE from the RGB board's JLCPCB quote ($61.65 for 5, shipping extra); the single-colour board has not been quoted.</t>
        </is>
      </c>
    </row>
    <row r="22">
      <c r="A22" s="36" t="inlineStr">
        <is>
          <t>TOTAL for one watch (USD)</t>
        </is>
      </c>
      <c r="J22" s="55">
        <f>SUM(J5:J21)</f>
        <v/>
      </c>
    </row>
    <row r="23">
      <c r="A23" s="2" t="inlineStr">
        <is>
          <t>Same for 5 watches (USD, no volume discount)</t>
        </is>
      </c>
      <c r="J23" s="54">
        <f>5*J22</f>
        <v/>
      </c>
    </row>
    <row r="24">
      <c r="A24" s="7" t="inlineStr">
        <is>
          <t>Parts with no price fetched are counted as $0, so the total is a floor.</t>
        </is>
      </c>
    </row>
  </sheetData>
  <mergeCells count="1">
    <mergeCell ref="A2:L2"/>
  </mergeCells>
  <hyperlinks>
    <hyperlink xmlns:r="http://schemas.openxmlformats.org/officeDocument/2006/relationships" ref="K8" r:id="rId1"/>
    <hyperlink xmlns:r="http://schemas.openxmlformats.org/officeDocument/2006/relationships" ref="M8" r:id="rId2"/>
    <hyperlink xmlns:r="http://schemas.openxmlformats.org/officeDocument/2006/relationships" ref="K9" r:id="rId3"/>
    <hyperlink xmlns:r="http://schemas.openxmlformats.org/officeDocument/2006/relationships" ref="M9" r:id="rId4"/>
    <hyperlink xmlns:r="http://schemas.openxmlformats.org/officeDocument/2006/relationships" ref="K10" r:id="rId5"/>
    <hyperlink xmlns:r="http://schemas.openxmlformats.org/officeDocument/2006/relationships" ref="K11" r:id="rId6"/>
    <hyperlink xmlns:r="http://schemas.openxmlformats.org/officeDocument/2006/relationships" ref="M11" r:id="rId7"/>
    <hyperlink xmlns:r="http://schemas.openxmlformats.org/officeDocument/2006/relationships" ref="K12" r:id="rId8"/>
    <hyperlink xmlns:r="http://schemas.openxmlformats.org/officeDocument/2006/relationships" ref="M12" r:id="rId9"/>
    <hyperlink xmlns:r="http://schemas.openxmlformats.org/officeDocument/2006/relationships" ref="K13" r:id="rId10"/>
    <hyperlink xmlns:r="http://schemas.openxmlformats.org/officeDocument/2006/relationships" ref="M13" r:id="rId11"/>
    <hyperlink xmlns:r="http://schemas.openxmlformats.org/officeDocument/2006/relationships" ref="K14" r:id="rId12"/>
    <hyperlink xmlns:r="http://schemas.openxmlformats.org/officeDocument/2006/relationships" ref="M14" r:id="rId13"/>
    <hyperlink xmlns:r="http://schemas.openxmlformats.org/officeDocument/2006/relationships" ref="K15" r:id="rId14"/>
    <hyperlink xmlns:r="http://schemas.openxmlformats.org/officeDocument/2006/relationships" ref="M15" r:id="rId15"/>
    <hyperlink xmlns:r="http://schemas.openxmlformats.org/officeDocument/2006/relationships" ref="K16" r:id="rId16"/>
    <hyperlink xmlns:r="http://schemas.openxmlformats.org/officeDocument/2006/relationships" ref="M16" r:id="rId17"/>
    <hyperlink xmlns:r="http://schemas.openxmlformats.org/officeDocument/2006/relationships" ref="K17" r:id="rId18"/>
    <hyperlink xmlns:r="http://schemas.openxmlformats.org/officeDocument/2006/relationships" ref="K19" r:id="rId19"/>
    <hyperlink xmlns:r="http://schemas.openxmlformats.org/officeDocument/2006/relationships" ref="K20"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56" customWidth="1" min="1" max="1"/>
    <col width="17" customWidth="1" min="2" max="2"/>
    <col width="17" customWidth="1" min="3" max="3"/>
    <col width="17" customWidth="1" min="4" max="4"/>
    <col width="17" customWidth="1" min="5" max="5"/>
    <col width="17" customWidth="1" min="6" max="6"/>
    <col width="17" customWidth="1" min="7" max="7"/>
  </cols>
  <sheetData>
    <row r="1">
      <c r="A1" s="1" t="inlineStr">
        <is>
          <t>How big does the board have to be? (round board with the LED rings outside the electronics)</t>
        </is>
      </c>
    </row>
    <row r="2" ht="44" customHeight="1">
      <c r="A2" s="3" t="inlineStr">
        <is>
          <t>The board is the largest of four demands: (1) the LED rings themselves, (2) a free centre on the FRONT big enough for the solar cell (Variant B), (3) enough BACK area for every component and the battery, (4) room for the battery's diagonal. The strap lugs sit outside this circle.</t>
        </is>
      </c>
    </row>
    <row r="3"/>
    <row r="4">
      <c r="A4" s="4" t="inlineStr">
        <is>
          <t>Rules you can change</t>
        </is>
      </c>
      <c r="B4" s="15" t="n"/>
      <c r="C4" s="15" t="n"/>
      <c r="D4" s="15" t="n"/>
      <c r="E4" s="15" t="n"/>
      <c r="F4" s="15" t="n"/>
      <c r="G4" s="15" t="n"/>
    </row>
    <row r="5">
      <c r="A5" s="2" t="inlineStr">
        <is>
          <t>LED spacing around a ring (copper gap between neighbours, mm)</t>
        </is>
      </c>
      <c r="B5" s="6" t="n">
        <v>0.5</v>
      </c>
      <c r="C5" s="7" t="inlineStr">
        <is>
          <t>0.5 = the default used for the ring layouts.</t>
        </is>
      </c>
    </row>
    <row r="6">
      <c r="A6" s="2" t="inlineStr">
        <is>
          <t>Gap between rings, for traces (mm)</t>
        </is>
      </c>
      <c r="B6" s="6" t="n">
        <v>0.8</v>
      </c>
    </row>
    <row r="7">
      <c r="A7" s="2" t="inlineStr">
        <is>
          <t>Outer LED edge to board edge (mm)</t>
        </is>
      </c>
      <c r="B7" s="6" t="n">
        <v>1</v>
      </c>
    </row>
    <row r="8">
      <c r="A8" s="2" t="inlineStr">
        <is>
          <t>Clearance around the solar cell inside the free centre (mm)</t>
        </is>
      </c>
      <c r="B8" s="6" t="n">
        <v>0.3</v>
      </c>
    </row>
    <row r="9">
      <c r="A9" s="2" t="inlineStr">
        <is>
          <t>Extra free centre wanted when there is no solar cell (mm diameter)</t>
        </is>
      </c>
      <c r="B9" s="13" t="n">
        <v>0</v>
      </c>
    </row>
    <row r="10">
      <c r="A10" s="2" t="inlineStr">
        <is>
          <t>Routing and keep-out overhead on the back (x the sum of courtyards)</t>
        </is>
      </c>
      <c r="B10" s="6" t="n">
        <v>1.3</v>
      </c>
      <c r="C10" s="7" t="inlineStr">
        <is>
          <t>ESTIMATES (back-side packing).</t>
        </is>
      </c>
    </row>
    <row r="11">
      <c r="A11" s="2" t="inlineStr">
        <is>
          <t>Fraction of the back circle that parts can actually fill</t>
        </is>
      </c>
      <c r="B11" s="6" t="n">
        <v>0.6</v>
      </c>
    </row>
    <row r="12">
      <c r="A12" s="2" t="inlineStr">
        <is>
          <t>Battery edge margin to the board edge (mm)</t>
        </is>
      </c>
      <c r="B12" s="13" t="n">
        <v>1.5</v>
      </c>
    </row>
    <row r="13"/>
    <row r="14">
      <c r="A14" s="4" t="inlineStr">
        <is>
          <t>1. The LED rings (closed-form version of the ring generator)</t>
        </is>
      </c>
      <c r="B14" s="15" t="n"/>
      <c r="C14" s="15" t="n"/>
      <c r="D14" s="15" t="n"/>
      <c r="E14" s="15" t="n"/>
      <c r="F14" s="15" t="n"/>
      <c r="G14" s="15" t="n"/>
    </row>
    <row r="15" ht="44" customHeight="1">
      <c r="A15" s="17" t="inlineStr">
        <is>
          <t>Ring</t>
        </is>
      </c>
      <c r="B15" s="17" t="inlineStr">
        <is>
          <t>LED pick</t>
        </is>
      </c>
      <c r="C15" s="17" t="inlineStr">
        <is>
          <t>Pad length (mm)</t>
        </is>
      </c>
      <c r="D15" s="17" t="inlineStr">
        <is>
          <t>Pad width (mm)</t>
        </is>
      </c>
      <c r="E15" s="17" t="inlineStr">
        <is>
          <t>LEDs in ring</t>
        </is>
      </c>
      <c r="F15" s="17" t="inlineStr">
        <is>
          <t>Min ring radius from LED spacing (mm)</t>
        </is>
      </c>
    </row>
    <row r="16" ht="28" customHeight="1">
      <c r="A16" s="36" t="inlineStr">
        <is>
          <t>Hour (inner)</t>
        </is>
      </c>
      <c r="B16" s="56">
        <f>Inputs!$B$56</f>
        <v/>
      </c>
      <c r="C16" s="28">
        <f>INDEX(LEDs!$B$9:$G$9,MATCH(Inputs!$B$56,LEDs!$B$4:$G$4,0))</f>
        <v/>
      </c>
      <c r="D16" s="28">
        <f>INDEX(LEDs!$B$10:$G$10,MATCH(Inputs!$B$56,LEDs!$B$4:$G$4,0))</f>
        <v/>
      </c>
      <c r="E16" s="42" t="n">
        <v>12</v>
      </c>
      <c r="F16" s="28">
        <f>(D16+$B$5)/(2*SIN(PI()/E16))</f>
        <v/>
      </c>
    </row>
    <row r="17" ht="28" customHeight="1">
      <c r="A17" s="36" t="inlineStr">
        <is>
          <t>Minute (middle)</t>
        </is>
      </c>
      <c r="B17" s="56">
        <f>Inputs!$B$57</f>
        <v/>
      </c>
      <c r="C17" s="28">
        <f>INDEX(LEDs!$B$9:$G$9,MATCH(Inputs!$B$57,LEDs!$B$4:$G$4,0))</f>
        <v/>
      </c>
      <c r="D17" s="28">
        <f>INDEX(LEDs!$B$10:$G$10,MATCH(Inputs!$B$57,LEDs!$B$4:$G$4,0))</f>
        <v/>
      </c>
      <c r="E17" s="42" t="n">
        <v>60</v>
      </c>
      <c r="F17" s="28">
        <f>(D17+$B$5)/(2*SIN(PI()/E17))</f>
        <v/>
      </c>
    </row>
    <row r="18" ht="28" customHeight="1">
      <c r="A18" s="36" t="inlineStr">
        <is>
          <t>Second (outer)</t>
        </is>
      </c>
      <c r="B18" s="56">
        <f>Inputs!$B$58</f>
        <v/>
      </c>
      <c r="C18" s="28">
        <f>INDEX(LEDs!$B$9:$G$9,MATCH(Inputs!$B$58,LEDs!$B$4:$G$4,0))</f>
        <v/>
      </c>
      <c r="D18" s="28">
        <f>INDEX(LEDs!$B$10:$G$10,MATCH(Inputs!$B$58,LEDs!$B$4:$G$4,0))</f>
        <v/>
      </c>
      <c r="E18" s="42" t="n">
        <v>60</v>
      </c>
      <c r="F18" s="28">
        <f>(D18+$B$5)/(2*SIN(PI()/E18))</f>
        <v/>
      </c>
    </row>
    <row r="19">
      <c r="A19" s="2" t="inlineStr">
        <is>
          <t>Ring thickness on each side of the free centre (mm)</t>
        </is>
      </c>
      <c r="B19" s="51">
        <f>B7+C18+C17+C16+2*B6</f>
        <v/>
      </c>
    </row>
    <row r="20">
      <c r="A20" s="2" t="inlineStr">
        <is>
          <t>Smallest board radius from ring 3 (seconds, outermost)</t>
        </is>
      </c>
      <c r="B20" s="28">
        <f>F18+B7+C18/2</f>
        <v/>
      </c>
    </row>
    <row r="21">
      <c r="A21" s="2" t="inlineStr">
        <is>
          <t>Smallest board radius from ring 2 (minutes)</t>
        </is>
      </c>
      <c r="B21" s="28">
        <f>F17+B7+C18+B6+C17/2</f>
        <v/>
      </c>
    </row>
    <row r="22">
      <c r="A22" s="2" t="inlineStr">
        <is>
          <t>Smallest board radius from ring 1 (hours)</t>
        </is>
      </c>
      <c r="B22" s="28">
        <f>F16+B7+C18+C17+2*B6+C16/2</f>
        <v/>
      </c>
    </row>
    <row r="23">
      <c r="A23" s="36" t="inlineStr">
        <is>
          <t>DEMAND 1: board diameter the LED rings need (mm)</t>
        </is>
      </c>
      <c r="B23" s="9">
        <f>2*MAX(B20,B21,B22,B19)</f>
        <v/>
      </c>
    </row>
    <row r="24"/>
    <row r="25">
      <c r="A25" s="4" t="inlineStr">
        <is>
          <t>2. The front free centre (solar cell)</t>
        </is>
      </c>
      <c r="B25" s="15" t="n"/>
      <c r="C25" s="15" t="n"/>
      <c r="D25" s="15" t="n"/>
      <c r="E25" s="15" t="n"/>
      <c r="F25" s="15" t="n"/>
      <c r="G25" s="15" t="n"/>
    </row>
    <row r="26">
      <c r="A26" s="2" t="inlineStr">
        <is>
          <t>Solar cell shown on the front?</t>
        </is>
      </c>
      <c r="B26" s="2">
        <f>IF(Inputs!B60="B: solar harvester","yes","no")</f>
        <v/>
      </c>
    </row>
    <row r="27">
      <c r="A27" s="2" t="inlineStr">
        <is>
          <t>Cell picked on the Inputs tab</t>
        </is>
      </c>
      <c r="B27" s="57">
        <f>Inputs!B37</f>
        <v/>
      </c>
    </row>
    <row r="28">
      <c r="A28" s="2" t="inlineStr">
        <is>
          <t>Cell diagonal (mm)</t>
        </is>
      </c>
      <c r="B28" s="37">
        <f>SQRT(INDEX(Solar!$I$22:$I$24,MATCH(B27,Solar!$A$22:$A$24,0))^2+INDEX(Solar!$J$22:$J$24,MATCH(B27,Solar!$A$22:$A$24,0))^2)</f>
        <v/>
      </c>
    </row>
    <row r="29">
      <c r="A29" s="2" t="inlineStr">
        <is>
          <t>Free centre diameter needed (mm)</t>
        </is>
      </c>
      <c r="B29" s="37">
        <f>IF(B26="yes",B28+2*B8,B9)</f>
        <v/>
      </c>
    </row>
    <row r="30">
      <c r="A30" s="36" t="inlineStr">
        <is>
          <t>DEMAND 2: board diameter for the front free centre (mm)</t>
        </is>
      </c>
      <c r="B30" s="9">
        <f>B29+2*B19</f>
        <v/>
      </c>
    </row>
    <row r="31"/>
    <row r="32">
      <c r="A32" s="4" t="inlineStr">
        <is>
          <t>Result</t>
        </is>
      </c>
      <c r="B32" s="15" t="n"/>
      <c r="C32" s="15" t="n"/>
      <c r="D32" s="15" t="n"/>
      <c r="E32" s="15" t="n"/>
      <c r="F32" s="15" t="n"/>
      <c r="G32" s="15" t="n"/>
    </row>
    <row r="33">
      <c r="A33" s="36" t="inlineStr">
        <is>
          <t>FINAL BOARD DIAMETER (mm)</t>
        </is>
      </c>
      <c r="B33" s="58">
        <f>MAX(B23,B30,B54,B57)</f>
        <v/>
      </c>
    </row>
    <row r="34">
      <c r="A34" s="2" t="inlineStr">
        <is>
          <t>What sets it</t>
        </is>
      </c>
      <c r="B34" s="40">
        <f>IF(B33=B23,"the LED rings",IF(B33=B30,"the solar cell in the centre",IF(B33=B54,"back-side parts area","the battery diagonal")))</f>
        <v/>
      </c>
    </row>
    <row r="35">
      <c r="A35" s="2" t="inlineStr">
        <is>
          <t>Free centre left on the front (mm diameter)</t>
        </is>
      </c>
      <c r="B35" s="37">
        <f>B33-2*B19</f>
        <v/>
      </c>
    </row>
    <row r="36">
      <c r="A36" s="2" t="inlineStr">
        <is>
          <t>Board area (mm2)</t>
        </is>
      </c>
      <c r="B36" s="42">
        <f>PI()*(B33/2)^2</f>
        <v/>
      </c>
    </row>
    <row r="37"/>
    <row r="38">
      <c r="A38" s="4" t="inlineStr">
        <is>
          <t>3. The back side: every component's keep-out area</t>
        </is>
      </c>
      <c r="B38" s="15" t="n"/>
      <c r="C38" s="15" t="n"/>
      <c r="D38" s="15" t="n"/>
      <c r="E38" s="15" t="n"/>
      <c r="F38" s="15" t="n"/>
      <c r="G38" s="15" t="n"/>
    </row>
    <row r="39" ht="30" customHeight="1">
      <c r="A39" s="17" t="inlineStr">
        <is>
          <t>Part</t>
        </is>
      </c>
      <c r="B39" s="17" t="inlineStr">
        <is>
          <t>Courtyard W (mm)</t>
        </is>
      </c>
      <c r="C39" s="17" t="inlineStr">
        <is>
          <t>Courtyard H (mm)</t>
        </is>
      </c>
      <c r="D39" s="17" t="inlineStr">
        <is>
          <t>Quantity in this build</t>
        </is>
      </c>
      <c r="E39" s="17" t="inlineStr">
        <is>
          <t>Counted area (mm2)</t>
        </is>
      </c>
      <c r="F39" s="17" t="inlineStr">
        <is>
          <t>Source</t>
        </is>
      </c>
    </row>
    <row r="40">
      <c r="A40" s="2" t="inlineStr">
        <is>
          <t>MCU AVR128DB48 (TQFP-48)</t>
        </is>
      </c>
      <c r="B40" s="28" t="n">
        <v>10.39</v>
      </c>
      <c r="C40" s="28" t="n">
        <v>10.39</v>
      </c>
      <c r="D40" s="42">
        <f>1</f>
        <v/>
      </c>
      <c r="E40" s="37">
        <f>B40*C40*D40</f>
        <v/>
      </c>
      <c r="F40" s="7" t="inlineStr">
        <is>
          <t>KiCad courtyard (VERIFIED)</t>
        </is>
      </c>
    </row>
    <row r="41">
      <c r="A41" s="2" t="inlineStr">
        <is>
          <t>Motion sensor BMI270 (LGA-14)</t>
        </is>
      </c>
      <c r="B41" s="59">
        <f>Sensors!B7</f>
        <v/>
      </c>
      <c r="C41" s="59">
        <f>Sensors!B8</f>
        <v/>
      </c>
      <c r="D41" s="42">
        <f>IF(ISNUMBER(SEARCH("BMI270",Inputs!$B$32&amp;Inputs!$B$51)),1,0)</f>
        <v/>
      </c>
      <c r="E41" s="37">
        <f>B41*C41*D41</f>
        <v/>
      </c>
      <c r="F41" s="7" t="inlineStr">
        <is>
          <t>KiCad courtyard</t>
        </is>
      </c>
    </row>
    <row r="42">
      <c r="A42" s="2" t="inlineStr">
        <is>
          <t>Motion sensor BMA400 (LGA-12)</t>
        </is>
      </c>
      <c r="B42" s="59">
        <f>Sensors!C7</f>
        <v/>
      </c>
      <c r="C42" s="59">
        <f>Sensors!C8</f>
        <v/>
      </c>
      <c r="D42" s="42">
        <f>IF(ISNUMBER(SEARCH("BMA400",Inputs!$B$32&amp;Inputs!$B$51)),1,0)</f>
        <v/>
      </c>
      <c r="E42" s="37">
        <f>B42*C42*D42</f>
        <v/>
      </c>
      <c r="F42" s="7" t="inlineStr">
        <is>
          <t>KiCad courtyard</t>
        </is>
      </c>
    </row>
    <row r="43">
      <c r="A43" s="2" t="inlineStr">
        <is>
          <t>Motion sensor LIS2DW12 (LGA-12)</t>
        </is>
      </c>
      <c r="B43" s="59">
        <f>Sensors!D7</f>
        <v/>
      </c>
      <c r="C43" s="59">
        <f>Sensors!D8</f>
        <v/>
      </c>
      <c r="D43" s="42">
        <f>IF(ISNUMBER(SEARCH("LIS2DW12",Inputs!$B$32&amp;Inputs!$B$51)),1,0)</f>
        <v/>
      </c>
      <c r="E43" s="37">
        <f>B43*C43*D43</f>
        <v/>
      </c>
      <c r="F43" s="7" t="inlineStr">
        <is>
          <t>KiCad courtyard</t>
        </is>
      </c>
    </row>
    <row r="44">
      <c r="A44" s="2" t="inlineStr">
        <is>
          <t>32.768 kHz crystal (3215)</t>
        </is>
      </c>
      <c r="B44" s="28" t="n">
        <v>4.09</v>
      </c>
      <c r="C44" s="28" t="n">
        <v>2.39</v>
      </c>
      <c r="D44" s="42">
        <f>1</f>
        <v/>
      </c>
      <c r="E44" s="37">
        <f>B44*C44*D44</f>
        <v/>
      </c>
      <c r="F44" s="7" t="inlineStr">
        <is>
          <t>KiCad courtyard</t>
        </is>
      </c>
    </row>
    <row r="45">
      <c r="A45" s="2" t="inlineStr">
        <is>
          <t>Charger MCP73831 (SOT-23-5), Variant A</t>
        </is>
      </c>
      <c r="B45" s="28" t="n">
        <v>4.19</v>
      </c>
      <c r="C45" s="28" t="n">
        <v>3.49</v>
      </c>
      <c r="D45" s="42">
        <f>IF(Inputs!$B$60="A: pad-charged",1,0)</f>
        <v/>
      </c>
      <c r="E45" s="37">
        <f>B45*C45*D45</f>
        <v/>
      </c>
      <c r="F45" s="7" t="inlineStr">
        <is>
          <t>KiCad courtyard</t>
        </is>
      </c>
    </row>
    <row r="46">
      <c r="A46" s="2" t="inlineStr">
        <is>
          <t>3.3 V LDO (SOT-23), Variant A</t>
        </is>
      </c>
      <c r="B46" s="28" t="n">
        <v>3.95</v>
      </c>
      <c r="C46" s="28" t="n">
        <v>3.49</v>
      </c>
      <c r="D46" s="42">
        <f>IF(Inputs!$B$60="A: pad-charged",1,0)</f>
        <v/>
      </c>
      <c r="E46" s="37">
        <f>B46*C46*D46</f>
        <v/>
      </c>
      <c r="F46" s="7" t="inlineStr">
        <is>
          <t>KiCad courtyard</t>
        </is>
      </c>
    </row>
    <row r="47">
      <c r="A47" s="2" t="inlineStr">
        <is>
          <t>Harvester BQ25570 (VQFN-20), Variant B</t>
        </is>
      </c>
      <c r="B47" s="28" t="n">
        <v>4.8</v>
      </c>
      <c r="C47" s="28" t="n">
        <v>4.8</v>
      </c>
      <c r="D47" s="42">
        <f>IF(Inputs!$B$60="B: solar harvester",1,0)</f>
        <v/>
      </c>
      <c r="E47" s="37">
        <f>B47*C47*D47</f>
        <v/>
      </c>
      <c r="F47" s="7" t="inlineStr">
        <is>
          <t>ESTIMATE: no KiCad footprint (3.5 mm body + margin)</t>
        </is>
      </c>
    </row>
    <row r="48">
      <c r="A48" s="2" t="inlineStr">
        <is>
          <t>Inductors L1, L2 (1210), Variant B</t>
        </is>
      </c>
      <c r="B48" s="28" t="n">
        <v>4.65</v>
      </c>
      <c r="C48" s="28" t="n">
        <v>3.25</v>
      </c>
      <c r="D48" s="42">
        <f>IF(Inputs!$B$60="B: solar harvester",2,0)</f>
        <v/>
      </c>
      <c r="E48" s="37">
        <f>B48*C48*D48</f>
        <v/>
      </c>
      <c r="F48" s="7" t="inlineStr">
        <is>
          <t>KiCad courtyard (placeholder size)</t>
        </is>
      </c>
    </row>
    <row r="49">
      <c r="A49" s="2" t="inlineStr">
        <is>
          <t>JST SH battery connector</t>
        </is>
      </c>
      <c r="B49" s="28" t="n">
        <v>5.89</v>
      </c>
      <c r="C49" s="28" t="n">
        <v>6.65</v>
      </c>
      <c r="D49" s="42">
        <f>1</f>
        <v/>
      </c>
      <c r="E49" s="37">
        <f>B49*C49*D49</f>
        <v/>
      </c>
      <c r="F49" s="7" t="inlineStr">
        <is>
          <t>KiCad courtyard</t>
        </is>
      </c>
    </row>
    <row r="50">
      <c r="A50" s="2" t="inlineStr">
        <is>
          <t>Buttons (KMR2)</t>
        </is>
      </c>
      <c r="B50" s="28" t="n">
        <v>5.69</v>
      </c>
      <c r="C50" s="28" t="n">
        <v>3.69</v>
      </c>
      <c r="D50" s="42">
        <f>2</f>
        <v/>
      </c>
      <c r="E50" s="37">
        <f>B50*C50*D50</f>
        <v/>
      </c>
      <c r="F50" s="7" t="inlineStr">
        <is>
          <t>KiCad courtyard</t>
        </is>
      </c>
    </row>
    <row r="51">
      <c r="A51" s="2" t="inlineStr">
        <is>
          <t>UPDI header (1x3, 1.27 mm)</t>
        </is>
      </c>
      <c r="B51" s="28" t="n">
        <v>3.19</v>
      </c>
      <c r="C51" s="28" t="n">
        <v>4.91</v>
      </c>
      <c r="D51" s="42">
        <f>1</f>
        <v/>
      </c>
      <c r="E51" s="37">
        <f>B51*C51*D51</f>
        <v/>
      </c>
      <c r="F51" s="7" t="inlineStr">
        <is>
          <t>KiCad courtyard</t>
        </is>
      </c>
    </row>
    <row r="52">
      <c r="A52" s="2" t="inlineStr">
        <is>
          <t>Charge pads TP1/TP2, Variant A</t>
        </is>
      </c>
      <c r="B52" s="28" t="n">
        <v>3.09</v>
      </c>
      <c r="C52" s="28" t="n">
        <v>3.1</v>
      </c>
      <c r="D52" s="42">
        <f>IF(Inputs!$B$60="A: pad-charged",2,0)</f>
        <v/>
      </c>
      <c r="E52" s="37">
        <f>B52*C52*D52</f>
        <v/>
      </c>
      <c r="F52" s="7" t="inlineStr">
        <is>
          <t>KiCad courtyard</t>
        </is>
      </c>
    </row>
    <row r="53">
      <c r="A53" s="2" t="inlineStr">
        <is>
          <t>Small passives (0402): decoupling, pull-ups, ladders</t>
        </is>
      </c>
      <c r="B53" s="28" t="n">
        <v>1.95</v>
      </c>
      <c r="C53" s="28" t="n">
        <v>1.03</v>
      </c>
      <c r="D53" s="42">
        <f>IF(Inputs!$B$60="A: pad-charged",20,34)</f>
        <v/>
      </c>
      <c r="E53" s="37">
        <f>B53*C53*D53</f>
        <v/>
      </c>
      <c r="F53" s="7" t="inlineStr">
        <is>
          <t>ESTIMATE of count (schematic: ~20 in A, ~34 in B)</t>
        </is>
      </c>
    </row>
    <row r="54">
      <c r="A54" s="36" t="inlineStr">
        <is>
          <t>DEMAND 3: board diameter for the back-side parts + battery (mm)</t>
        </is>
      </c>
      <c r="B54" s="9">
        <f>2*SQRT(((B55+B56)*B10)/(PI()*B11))</f>
        <v/>
      </c>
    </row>
    <row r="55">
      <c r="A55" s="2" t="inlineStr">
        <is>
          <t xml:space="preserve">   (components alone, mm2)</t>
        </is>
      </c>
      <c r="B55" s="42">
        <f>SUM(E40:E53)</f>
        <v/>
      </c>
    </row>
    <row r="56">
      <c r="A56" s="2" t="inlineStr">
        <is>
          <t xml:space="preserve">   (battery footprint, mm2)</t>
        </is>
      </c>
      <c r="B56" s="42">
        <f>INDEX(Batteries!$B$12:$E$12,MATCH(Inputs!$B$59,Batteries!$B$4:$E$4,0))</f>
        <v/>
      </c>
    </row>
    <row r="57">
      <c r="A57" s="36" t="inlineStr">
        <is>
          <t>DEMAND 4: board diameter for the battery diagonal (mm)</t>
        </is>
      </c>
      <c r="B57" s="9">
        <f>INDEX(Batteries!$B$15:$E$15,MATCH(Inputs!$B$59,Batteries!$B$4:$E$4,0))+2*B12</f>
        <v/>
      </c>
    </row>
    <row r="58"/>
    <row r="59">
      <c r="A59" s="4" t="inlineStr">
        <is>
          <t>4. What if I group them differently? Board diameter (mm) for every battery x every front choice</t>
        </is>
      </c>
      <c r="B59" s="15" t="n"/>
      <c r="C59" s="15" t="n"/>
      <c r="D59" s="15" t="n"/>
      <c r="E59" s="15" t="n"/>
      <c r="F59" s="15" t="n"/>
      <c r="G59" s="15" t="n"/>
    </row>
    <row r="60" ht="30" customHeight="1">
      <c r="A60" s="17" t="inlineStr">
        <is>
          <t>Battery \ front centre</t>
        </is>
      </c>
      <c r="B60" s="17" t="inlineStr">
        <is>
          <t>No solar cell</t>
        </is>
      </c>
      <c r="C60" s="17" t="inlineStr">
        <is>
          <t>AM-1606C</t>
        </is>
      </c>
      <c r="D60" s="17" t="inlineStr">
        <is>
          <t>KXOB25-07X1TF</t>
        </is>
      </c>
      <c r="E60" s="17" t="inlineStr">
        <is>
          <t>KXOB081K06TF (yours)</t>
        </is>
      </c>
    </row>
    <row r="61">
      <c r="A61" s="7" t="inlineStr">
        <is>
          <t>Front-centre demand (mm)</t>
        </is>
      </c>
      <c r="B61" s="37">
        <f>B9+2*B19</f>
        <v/>
      </c>
      <c r="C61" s="37">
        <f>SQRT(INDEX(Solar!$I$22:$I$24,MATCH("AM-1606C",Solar!$A$22:$A$24,0))^2+INDEX(Solar!$J$22:$J$24,MATCH("AM-1606C",Solar!$A$22:$A$24,0))^2)+2*$B$8+2*$B$19</f>
        <v/>
      </c>
      <c r="D61" s="37">
        <f>SQRT(INDEX(Solar!$I$22:$I$24,MATCH("KXOB25-07X1TF",Solar!$A$22:$A$24,0))^2+INDEX(Solar!$J$22:$J$24,MATCH("KXOB25-07X1TF",Solar!$A$22:$A$24,0))^2)+2*$B$8+2*$B$19</f>
        <v/>
      </c>
      <c r="E61" s="37">
        <f>SQRT(INDEX(Solar!$I$22:$I$24,MATCH("KXOB081K06TF (yours)",Solar!$A$22:$A$24,0))^2+INDEX(Solar!$J$22:$J$24,MATCH("KXOB081K06TF (yours)",Solar!$A$22:$A$24,0))^2)+2*$B$8+2*$B$19</f>
        <v/>
      </c>
    </row>
    <row r="62">
      <c r="A62" s="36" t="inlineStr">
        <is>
          <t>Renata ICP341018PM (35 mAh)</t>
        </is>
      </c>
      <c r="B62" s="9">
        <f>MAX($B$23,B$61,2*SQRT((($B$55+INDEX(Batteries!$B$12:$E$12,1))*$B$10)/(PI()*$B$11)),INDEX(Batteries!$B$15:$E$15,1)+2*$B$12)</f>
        <v/>
      </c>
      <c r="C62" s="9">
        <f>MAX($B$23,C$61,2*SQRT((($B$55+INDEX(Batteries!$B$12:$E$12,1))*$B$10)/(PI()*$B$11)),INDEX(Batteries!$B$15:$E$15,1)+2*$B$12)</f>
        <v/>
      </c>
      <c r="D62" s="9">
        <f>MAX($B$23,D$61,2*SQRT((($B$55+INDEX(Batteries!$B$12:$E$12,1))*$B$10)/(PI()*$B$11)),INDEX(Batteries!$B$15:$E$15,1)+2*$B$12)</f>
        <v/>
      </c>
      <c r="E62" s="9">
        <f>MAX($B$23,E$61,2*SQRT((($B$55+INDEX(Batteries!$B$12:$E$12,1))*$B$10)/(PI()*$B$11)),INDEX(Batteries!$B$15:$E$15,1)+2*$B$12)</f>
        <v/>
      </c>
    </row>
    <row r="63">
      <c r="A63" s="36" t="inlineStr">
        <is>
          <t>Renata ICP331319PM (50 mAh)</t>
        </is>
      </c>
      <c r="B63" s="9">
        <f>MAX($B$23,B$61,2*SQRT((($B$55+INDEX(Batteries!$B$12:$E$12,2))*$B$10)/(PI()*$B$11)),INDEX(Batteries!$B$15:$E$15,2)+2*$B$12)</f>
        <v/>
      </c>
      <c r="C63" s="9">
        <f>MAX($B$23,C$61,2*SQRT((($B$55+INDEX(Batteries!$B$12:$E$12,2))*$B$10)/(PI()*$B$11)),INDEX(Batteries!$B$15:$E$15,2)+2*$B$12)</f>
        <v/>
      </c>
      <c r="D63" s="9">
        <f>MAX($B$23,D$61,2*SQRT((($B$55+INDEX(Batteries!$B$12:$E$12,2))*$B$10)/(PI()*$B$11)),INDEX(Batteries!$B$15:$E$15,2)+2*$B$12)</f>
        <v/>
      </c>
      <c r="E63" s="9">
        <f>MAX($B$23,E$61,2*SQRT((($B$55+INDEX(Batteries!$B$12:$E$12,2))*$B$10)/(PI()*$B$11)),INDEX(Batteries!$B$15:$E$15,2)+2*$B$12)</f>
        <v/>
      </c>
    </row>
    <row r="64">
      <c r="A64" s="36" t="inlineStr">
        <is>
          <t>Renata ICP501022UPM (80 mAh)</t>
        </is>
      </c>
      <c r="B64" s="9">
        <f>MAX($B$23,B$61,2*SQRT((($B$55+INDEX(Batteries!$B$12:$E$12,3))*$B$10)/(PI()*$B$11)),INDEX(Batteries!$B$15:$E$15,3)+2*$B$12)</f>
        <v/>
      </c>
      <c r="C64" s="9">
        <f>MAX($B$23,C$61,2*SQRT((($B$55+INDEX(Batteries!$B$12:$E$12,3))*$B$10)/(PI()*$B$11)),INDEX(Batteries!$B$15:$E$15,3)+2*$B$12)</f>
        <v/>
      </c>
      <c r="D64" s="9">
        <f>MAX($B$23,D$61,2*SQRT((($B$55+INDEX(Batteries!$B$12:$E$12,3))*$B$10)/(PI()*$B$11)),INDEX(Batteries!$B$15:$E$15,3)+2*$B$12)</f>
        <v/>
      </c>
      <c r="E64" s="9">
        <f>MAX($B$23,E$61,2*SQRT((($B$55+INDEX(Batteries!$B$12:$E$12,3))*$B$10)/(PI()*$B$11)),INDEX(Batteries!$B$15:$E$15,3)+2*$B$12)</f>
        <v/>
      </c>
    </row>
    <row r="65">
      <c r="A65" s="36" t="inlineStr">
        <is>
          <t>Renata ICP402025PC-01 (155 mAh)</t>
        </is>
      </c>
      <c r="B65" s="9">
        <f>MAX($B$23,B$61,2*SQRT((($B$55+INDEX(Batteries!$B$12:$E$12,4))*$B$10)/(PI()*$B$11)),INDEX(Batteries!$B$15:$E$15,4)+2*$B$12)</f>
        <v/>
      </c>
      <c r="C65" s="9">
        <f>MAX($B$23,C$61,2*SQRT((($B$55+INDEX(Batteries!$B$12:$E$12,4))*$B$10)/(PI()*$B$11)),INDEX(Batteries!$B$15:$E$15,4)+2*$B$12)</f>
        <v/>
      </c>
      <c r="D65" s="9">
        <f>MAX($B$23,D$61,2*SQRT((($B$55+INDEX(Batteries!$B$12:$E$12,4))*$B$10)/(PI()*$B$11)),INDEX(Batteries!$B$15:$E$15,4)+2*$B$12)</f>
        <v/>
      </c>
      <c r="E65" s="9">
        <f>MAX($B$23,E$61,2*SQRT((($B$55+INDEX(Batteries!$B$12:$E$12,4))*$B$10)/(PI()*$B$11)),INDEX(Batteries!$B$15:$E$15,4)+2*$B$12)</f>
        <v/>
      </c>
    </row>
    <row r="66" ht="30" customHeight="1">
      <c r="A66" s="3" t="inlineStr">
        <is>
          <t>Each cell = the largest of: LED rings, that front choice, back-side area with that battery, and that battery's diagonal. Back-side parts use the current Variant/sensor picks on Inputs.</t>
        </is>
      </c>
    </row>
  </sheetData>
  <mergeCells count="2">
    <mergeCell ref="A66:G66"/>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Layout fit: does everything fit around / behind the solar cell?</t>
        </is>
      </c>
    </row>
    <row r="2" ht="52" customHeight="1">
      <c r="A2" s="3" t="inlineStr">
        <is>
          <t>Picture: a round board. Outer band = the three LED rings. Inside the band, the front has a free round area; Variant B puts the rectangular solar cell in its middle, leaving four curved pockets (top, bottom, left, right) for chips and buttons. The BACK of the board carries the battery and whatever does not fit on the front. All areas are keep-out areas from the 'Board size' tab (courtyards x quantity), not exact placement.</t>
        </is>
      </c>
    </row>
    <row r="3"/>
    <row r="4">
      <c r="A4" s="4" t="inlineStr">
        <is>
          <t>Geometry (live from the Board size tab)</t>
        </is>
      </c>
      <c r="B4" s="15" t="n"/>
      <c r="C4" s="15" t="n"/>
      <c r="D4" s="15" t="n"/>
      <c r="E4" s="15" t="n"/>
      <c r="F4" s="15" t="n"/>
      <c r="G4" s="15" t="n"/>
    </row>
    <row r="5">
      <c r="A5" s="2" t="inlineStr">
        <is>
          <t>Board diameter (mm)</t>
        </is>
      </c>
      <c r="B5" s="60">
        <f>'Board size'!B33</f>
        <v/>
      </c>
    </row>
    <row r="6">
      <c r="A6" s="2" t="inlineStr">
        <is>
          <t>LED band thickness each side (mm)</t>
        </is>
      </c>
      <c r="B6" s="59">
        <f>'Board size'!B19</f>
        <v/>
      </c>
    </row>
    <row r="7">
      <c r="A7" s="2" t="inlineStr">
        <is>
          <t>Free inner circle radius (mm)</t>
        </is>
      </c>
      <c r="B7" s="28">
        <f>B5/2-B6</f>
        <v/>
      </c>
    </row>
    <row r="8">
      <c r="A8" s="2" t="inlineStr">
        <is>
          <t>Cell picked on Inputs</t>
        </is>
      </c>
      <c r="B8" s="57">
        <f>Inputs!B37</f>
        <v/>
      </c>
    </row>
    <row r="9">
      <c r="A9" s="2" t="inlineStr">
        <is>
          <t>Cell length (mm)</t>
        </is>
      </c>
      <c r="B9" s="60">
        <f>INDEX(Solar!$I$22:$I$24,MATCH(B8,Solar!$A$22:$A$24,0))</f>
        <v/>
      </c>
    </row>
    <row r="10">
      <c r="A10" s="2" t="inlineStr">
        <is>
          <t>Cell width (mm)</t>
        </is>
      </c>
      <c r="B10" s="60">
        <f>INDEX(Solar!$J$22:$J$24,MATCH(B8,Solar!$A$22:$A$24,0))</f>
        <v/>
      </c>
    </row>
    <row r="11">
      <c r="A11" s="2" t="inlineStr">
        <is>
          <t>Solar cell on the front? (Variant B)</t>
        </is>
      </c>
      <c r="B11" s="57">
        <f>IF(Inputs!B60="B: solar harvester","yes","no")</f>
        <v/>
      </c>
    </row>
    <row r="12">
      <c r="A12" s="2" t="inlineStr">
        <is>
          <t>Cell half-diagonal (mm)</t>
        </is>
      </c>
      <c r="B12" s="37">
        <f>IF(B11="yes",SQRT(B9^2+B10^2)/2,0)</f>
        <v/>
      </c>
    </row>
    <row r="13">
      <c r="A13" s="2" t="inlineStr">
        <is>
          <t>Does the cell fit inside the free circle?</t>
        </is>
      </c>
      <c r="B13" s="2">
        <f>IF(B11="no","no cell",IF(B12&lt;=B7,"yes","NO: cell corners hit the LED band"))</f>
        <v/>
      </c>
    </row>
    <row r="14">
      <c r="A14" s="2" t="inlineStr">
        <is>
          <t>Free front area, circle minus cell (mm2)</t>
        </is>
      </c>
      <c r="B14" s="42">
        <f>PI()*B7^2-IF(B11="yes",B9*B10,0)</f>
        <v/>
      </c>
    </row>
    <row r="15">
      <c r="A15" s="2" t="inlineStr">
        <is>
          <t>Top pocket area (mm2)</t>
        </is>
      </c>
      <c r="B15" s="42">
        <f>IF(B11="yes",MAX(0,B7^2*ACOS(MIN(1,B10/2/B7))-(B10/2)*SQRT(MAX(0,B7^2-(B10/2)^2))),PI()*B7^2/2)</f>
        <v/>
      </c>
      <c r="C15" s="7" t="inlineStr">
        <is>
          <t>Cap above/below a rectangle that is as wide as the cell is long (rotate the cell in the layout to trade top/bottom for left/right).</t>
        </is>
      </c>
    </row>
    <row r="16">
      <c r="A16" s="2" t="inlineStr">
        <is>
          <t>Bottom pocket area (mm2)</t>
        </is>
      </c>
      <c r="B16" s="42">
        <f>B15</f>
        <v/>
      </c>
    </row>
    <row r="17">
      <c r="A17" s="2" t="inlineStr">
        <is>
          <t>Left + right pockets area (mm2)</t>
        </is>
      </c>
      <c r="B17" s="42">
        <f>MAX(0,B14-B15-B16)</f>
        <v/>
      </c>
    </row>
    <row r="18">
      <c r="A18" s="2" t="inlineStr">
        <is>
          <t>Fraction of a pocket parts can actually fill</t>
        </is>
      </c>
      <c r="B18" s="59">
        <f>'Board size'!B11</f>
        <v/>
      </c>
    </row>
    <row r="19">
      <c r="A19" s="2" t="inlineStr">
        <is>
          <t>Usable front area (mm2)</t>
        </is>
      </c>
      <c r="B19" s="42">
        <f>B14*B18</f>
        <v/>
      </c>
    </row>
    <row r="20"/>
    <row r="21">
      <c r="A21" s="4" t="inlineStr">
        <is>
          <t>Where each part goes (1 = front pocket, 0 = back with the battery)</t>
        </is>
      </c>
      <c r="B21" s="15" t="n"/>
      <c r="C21" s="15" t="n"/>
      <c r="D21" s="15" t="n"/>
      <c r="E21" s="15" t="n"/>
      <c r="F21" s="15" t="n"/>
      <c r="G21" s="15" t="n"/>
    </row>
    <row r="22">
      <c r="A22" s="17" t="inlineStr">
        <is>
          <t>Part</t>
        </is>
      </c>
      <c r="B22" s="17" t="inlineStr">
        <is>
          <t>Area (mm2)</t>
        </is>
      </c>
      <c r="C22" s="17" t="inlineStr">
        <is>
          <t>On the front? (1/0)</t>
        </is>
      </c>
    </row>
    <row r="23">
      <c r="A23" s="57">
        <f>'Board size'!A40</f>
        <v/>
      </c>
      <c r="B23" s="60">
        <f>'Board size'!E40</f>
        <v/>
      </c>
      <c r="C23" s="11" t="n">
        <v>0</v>
      </c>
    </row>
    <row r="24">
      <c r="A24" s="57">
        <f>'Board size'!A41</f>
        <v/>
      </c>
      <c r="B24" s="60">
        <f>'Board size'!E41</f>
        <v/>
      </c>
      <c r="C24" s="11" t="n">
        <v>1</v>
      </c>
    </row>
    <row r="25">
      <c r="A25" s="57">
        <f>'Board size'!A42</f>
        <v/>
      </c>
      <c r="B25" s="60">
        <f>'Board size'!E42</f>
        <v/>
      </c>
      <c r="C25" s="11" t="n">
        <v>1</v>
      </c>
    </row>
    <row r="26">
      <c r="A26" s="57">
        <f>'Board size'!A43</f>
        <v/>
      </c>
      <c r="B26" s="60">
        <f>'Board size'!E43</f>
        <v/>
      </c>
      <c r="C26" s="11" t="n">
        <v>1</v>
      </c>
    </row>
    <row r="27">
      <c r="A27" s="57">
        <f>'Board size'!A44</f>
        <v/>
      </c>
      <c r="B27" s="60">
        <f>'Board size'!E44</f>
        <v/>
      </c>
      <c r="C27" s="11" t="n">
        <v>1</v>
      </c>
    </row>
    <row r="28">
      <c r="A28" s="57">
        <f>'Board size'!A45</f>
        <v/>
      </c>
      <c r="B28" s="60">
        <f>'Board size'!E45</f>
        <v/>
      </c>
      <c r="C28" s="11" t="n">
        <v>1</v>
      </c>
    </row>
    <row r="29">
      <c r="A29" s="57">
        <f>'Board size'!A46</f>
        <v/>
      </c>
      <c r="B29" s="60">
        <f>'Board size'!E46</f>
        <v/>
      </c>
      <c r="C29" s="11" t="n">
        <v>1</v>
      </c>
    </row>
    <row r="30">
      <c r="A30" s="57">
        <f>'Board size'!A47</f>
        <v/>
      </c>
      <c r="B30" s="60">
        <f>'Board size'!E47</f>
        <v/>
      </c>
      <c r="C30" s="11" t="n">
        <v>0</v>
      </c>
    </row>
    <row r="31">
      <c r="A31" s="57">
        <f>'Board size'!A48</f>
        <v/>
      </c>
      <c r="B31" s="60">
        <f>'Board size'!E48</f>
        <v/>
      </c>
      <c r="C31" s="11" t="n">
        <v>0</v>
      </c>
    </row>
    <row r="32">
      <c r="A32" s="57">
        <f>'Board size'!A49</f>
        <v/>
      </c>
      <c r="B32" s="60">
        <f>'Board size'!E49</f>
        <v/>
      </c>
      <c r="C32" s="11" t="n">
        <v>0</v>
      </c>
    </row>
    <row r="33">
      <c r="A33" s="57">
        <f>'Board size'!A50</f>
        <v/>
      </c>
      <c r="B33" s="60">
        <f>'Board size'!E50</f>
        <v/>
      </c>
      <c r="C33" s="11" t="n">
        <v>1</v>
      </c>
    </row>
    <row r="34">
      <c r="A34" s="57">
        <f>'Board size'!A51</f>
        <v/>
      </c>
      <c r="B34" s="60">
        <f>'Board size'!E51</f>
        <v/>
      </c>
      <c r="C34" s="11" t="n">
        <v>1</v>
      </c>
    </row>
    <row r="35">
      <c r="A35" s="57">
        <f>'Board size'!A52</f>
        <v/>
      </c>
      <c r="B35" s="60">
        <f>'Board size'!E52</f>
        <v/>
      </c>
      <c r="C35" s="11" t="n">
        <v>1</v>
      </c>
    </row>
    <row r="36">
      <c r="A36" s="57">
        <f>'Board size'!A53</f>
        <v/>
      </c>
      <c r="B36" s="60">
        <f>'Board size'!E53</f>
        <v/>
      </c>
      <c r="C36" s="11" t="n">
        <v>1</v>
      </c>
    </row>
    <row r="37"/>
    <row r="38">
      <c r="A38" s="4" t="inlineStr">
        <is>
          <t>Result</t>
        </is>
      </c>
      <c r="B38" s="15" t="n"/>
      <c r="C38" s="15" t="n"/>
      <c r="D38" s="15" t="n"/>
      <c r="E38" s="15" t="n"/>
      <c r="F38" s="15" t="n"/>
      <c r="G38" s="15" t="n"/>
    </row>
    <row r="39">
      <c r="A39" s="2" t="inlineStr">
        <is>
          <t>Front parts needing area (mm2, x routing overhead)</t>
        </is>
      </c>
      <c r="B39" s="42">
        <f>SUMPRODUCT(B23:B36,C23:C36)*'Board size'!B10</f>
        <v/>
      </c>
    </row>
    <row r="40">
      <c r="A40" s="2" t="inlineStr">
        <is>
          <t>Usable front area (mm2)</t>
        </is>
      </c>
      <c r="B40" s="42">
        <f>B19</f>
        <v/>
      </c>
    </row>
    <row r="41">
      <c r="A41" s="36" t="inlineStr">
        <is>
          <t>FRONT VERDICT</t>
        </is>
      </c>
      <c r="B41" s="40">
        <f>IF(B39&lt;=B40,"fits ("&amp;TEXT(B39/B40,"0%")&amp;" full)","DOES NOT FIT: "&amp;TEXT(B39/B40,"0%")&amp;" of the space")</f>
        <v/>
      </c>
    </row>
    <row r="42">
      <c r="A42" s="2" t="inlineStr">
        <is>
          <t>Back parts + battery needing area (mm2, x routing overhead)</t>
        </is>
      </c>
      <c r="B42" s="42">
        <f>(SUMPRODUCT(B23:B36,1-C23:C36)+'Board size'!B56)*'Board size'!B10</f>
        <v/>
      </c>
    </row>
    <row r="43">
      <c r="A43" s="2" t="inlineStr">
        <is>
          <t>Usable back area (whole circle, mm2)</t>
        </is>
      </c>
      <c r="B43" s="42">
        <f>PI()*(B5/2)^2*'Board size'!B11</f>
        <v/>
      </c>
    </row>
    <row r="44">
      <c r="A44" s="36" t="inlineStr">
        <is>
          <t>BACK VERDICT</t>
        </is>
      </c>
      <c r="B44" s="40">
        <f>IF(B42&lt;=B43,"fits ("&amp;TEXT(B42/B43,"0%")&amp;" full)","DOES NOT FIT: "&amp;TEXT(B42/B43,"0%")&amp;" of the space")</f>
        <v/>
      </c>
    </row>
    <row r="45"/>
    <row r="46" ht="40" customHeight="1">
      <c r="A46" s="3" t="inlineStr">
        <is>
          <t>The MCU body (7x7 mm TQFP-48) plus its courtyard (10.4 mm square) is the biggest single block. The top and bottom pockets are the only ones wide enough for it; left/right pockets are narrow slivers that suit buttons, the crystal and small passives.</t>
        </is>
      </c>
    </row>
  </sheetData>
  <mergeCells count="2">
    <mergeCell ref="A2:G2"/>
    <mergeCell ref="A46:G4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8" customWidth="1" min="1" max="1"/>
    <col width="40" customWidth="1" min="2" max="2"/>
    <col width="40" customWidth="1" min="3" max="3"/>
    <col width="40" customWidth="1" min="4" max="4"/>
    <col width="40" customWidth="1" min="5" max="5"/>
  </cols>
  <sheetData>
    <row r="1">
      <c r="A1" s="1" t="inlineStr">
        <is>
          <t>Wearing it: thickness, the battery on the back, and the strap</t>
        </is>
      </c>
    </row>
    <row r="2" ht="32" customHeight="1">
      <c r="A2" s="3" t="inlineStr">
        <is>
          <t>Your assumption: no housing, strap through the board's slots, battery soldered to the back. This tab estimates the stack-up thickness and lists what could go wrong. Heights marked ESTIMATE are not from datasheets.</t>
        </is>
      </c>
    </row>
    <row r="3"/>
    <row r="4">
      <c r="A4" s="4" t="inlineStr">
        <is>
          <t>Stack-up from the front to the wrist (mm)</t>
        </is>
      </c>
      <c r="B4" s="15" t="n"/>
      <c r="C4" s="15" t="n"/>
      <c r="D4" s="15" t="n"/>
      <c r="E4" s="15" t="n"/>
    </row>
    <row r="5">
      <c r="A5" s="2" t="inlineStr">
        <is>
          <t>Front: tallest LED (mm)</t>
        </is>
      </c>
      <c r="B5" s="28">
        <f>MAX(INDEX(LEDs!$B$11:$G$11,MATCH(Inputs!B56,LEDs!$B$4:$G$4,0)),INDEX(LEDs!$B$11:$G$11,MATCH(Inputs!B57,LEDs!$B$4:$G$4,0)),INDEX(LEDs!$B$11:$G$11,MATCH(Inputs!B58,LEDs!$B$4:$G$4,0)))</f>
        <v/>
      </c>
      <c r="C5" s="7" t="inlineStr">
        <is>
          <t>From the LEDs tab (heights are mostly ESTIMATES).</t>
        </is>
      </c>
    </row>
    <row r="6">
      <c r="A6" s="2" t="inlineStr">
        <is>
          <t>Front: solar cell thickness (mm) if Variant B</t>
        </is>
      </c>
      <c r="B6" s="28">
        <f>IF(Inputs!B60="B: solar harvester",INDEX(Solar!$K$22:$K$24,MATCH(Inputs!B37,Solar!$A$22:$A$24,0)),0)</f>
        <v/>
      </c>
      <c r="C6" s="7" t="inlineStr">
        <is>
          <t>From the Solar tab.</t>
        </is>
      </c>
    </row>
    <row r="7">
      <c r="A7" s="36" t="inlineStr">
        <is>
          <t>Front stack above the board (mm)</t>
        </is>
      </c>
      <c r="B7" s="51">
        <f>MAX(B5,B6)</f>
        <v/>
      </c>
      <c r="C7" s="7" t="inlineStr">
        <is>
          <t>The cell sits in the middle; the LEDs are on the rings.</t>
        </is>
      </c>
    </row>
    <row r="8">
      <c r="A8" s="2" t="inlineStr">
        <is>
          <t>Board thickness (mm)</t>
        </is>
      </c>
      <c r="B8" s="6" t="n">
        <v>1.6</v>
      </c>
      <c r="C8" s="7" t="inlineStr">
        <is>
          <t>4-layer 1.6 mm FR-4 like the first design. A 1.0 mm board is possible but changes the quote.</t>
        </is>
      </c>
    </row>
    <row r="9">
      <c r="A9" s="2" t="inlineStr">
        <is>
          <t>Back: MCU height (mm)</t>
        </is>
      </c>
      <c r="B9" s="6" t="n">
        <v>1.2</v>
      </c>
      <c r="C9" s="7" t="inlineStr">
        <is>
          <t>ESTIMATE: TQFP-48 is about 1.2 mm; check the datasheet.</t>
        </is>
      </c>
    </row>
    <row r="10">
      <c r="A10" s="2" t="inlineStr">
        <is>
          <t>Back: battery thickness (mm, includes swelling)</t>
        </is>
      </c>
      <c r="B10" s="28">
        <f>INDEX(Batteries!$B$11:$E$11,MATCH(Inputs!B59,Batteries!$B$4:$E$4,0))</f>
        <v/>
      </c>
      <c r="C10" s="7" t="inlineStr">
        <is>
          <t>From the Batteries tab.</t>
        </is>
      </c>
    </row>
    <row r="11">
      <c r="A11" s="36" t="inlineStr">
        <is>
          <t>Back stack below the board (mm)</t>
        </is>
      </c>
      <c r="B11" s="51">
        <f>MAX(B9,B10)</f>
        <v/>
      </c>
      <c r="C11" s="7" t="inlineStr">
        <is>
          <t>The battery is the tallest thing on the back.</t>
        </is>
      </c>
    </row>
    <row r="12">
      <c r="A12" s="2" t="inlineStr">
        <is>
          <t>Protective film on the back, e.g. Kapton tape (mm)</t>
        </is>
      </c>
      <c r="B12" s="6" t="n">
        <v>0.1</v>
      </c>
      <c r="C12" s="7" t="inlineStr">
        <is>
          <t>Prevents skin contact with solder joints and the battery.</t>
        </is>
      </c>
    </row>
    <row r="13">
      <c r="A13" s="36" t="inlineStr">
        <is>
          <t>TOTAL THICKNESS without strap (mm)</t>
        </is>
      </c>
      <c r="B13" s="51">
        <f>B7+B8+B11+B12</f>
        <v/>
      </c>
      <c r="C13" s="7" t="inlineStr">
        <is>
          <t>A typical wristwatch is roughly 8-12 mm thick (ESTIMATE).</t>
        </is>
      </c>
    </row>
    <row r="14"/>
    <row r="15">
      <c r="A15" s="4" t="inlineStr">
        <is>
          <t>Concerns with a bare board on the wrist (reasoning, not testing)</t>
        </is>
      </c>
      <c r="B15" s="15" t="n"/>
      <c r="C15" s="15" t="n"/>
      <c r="D15" s="15" t="n"/>
      <c r="E15" s="15" t="n"/>
    </row>
    <row r="16">
      <c r="A16" s="17" t="inlineStr">
        <is>
          <t>Concern</t>
        </is>
      </c>
      <c r="B16" s="17" t="inlineStr">
        <is>
          <t>Why it matters</t>
        </is>
      </c>
      <c r="C16" s="17" t="inlineStr">
        <is>
          <t>What to do</t>
        </is>
      </c>
      <c r="D16" s="17" t="inlineStr">
        <is>
          <t>How serious</t>
        </is>
      </c>
    </row>
    <row r="17" ht="76" customHeight="1">
      <c r="A17" s="33" t="inlineStr">
        <is>
          <t>Battery between board and strap, strap against the skin</t>
        </is>
      </c>
      <c r="B17" s="19" t="inlineStr">
        <is>
          <t>Your picture. The strap becomes the cushion and the barrier: skin never touches battery or solder joints. The strap must pass through the slots BEHIND the battery.</t>
        </is>
      </c>
      <c r="C17" s="19" t="inlineStr">
        <is>
          <t>Make the slots wide enough for the strap and keep the battery inside the circle so the strap cannot press on its edge.</t>
        </is>
      </c>
      <c r="D17" s="19" t="inlineStr">
        <is>
          <t>Good plan</t>
        </is>
      </c>
    </row>
    <row r="18" ht="76" customHeight="1">
      <c r="A18" s="33" t="inlineStr">
        <is>
          <t>Battery directly against the skin</t>
        </is>
      </c>
      <c r="B18" s="19" t="inlineStr">
        <is>
          <t>Possible but not advisable: LiPo cells should not be bent, squeezed or pierced, and the pouch is soft. The Renata datasheet says charge only at 0-45 C (VERIFIED); skin plus a hot day can pass 45 C.</t>
        </is>
      </c>
      <c r="C18" s="19" t="inlineStr">
        <is>
          <t>Put a film or the strap between them. Do not charge the watch while wearing it.</t>
        </is>
      </c>
      <c r="D18" s="19" t="inlineStr">
        <is>
          <t>Avoid</t>
        </is>
      </c>
    </row>
    <row r="19" ht="76" customHeight="1">
      <c r="A19" s="33" t="inlineStr">
        <is>
          <t>Sweat on exposed copper and solder</t>
        </is>
      </c>
      <c r="B19" s="19" t="inlineStr">
        <is>
          <t>ENIG pads and solder joints on the back will see sweat; salt water is conductive and corrosive. 3.7 V is low, but leakage drains the battery and corrodes pads.</t>
        </is>
      </c>
      <c r="C19" s="19" t="inlineStr">
        <is>
          <t>Conformal coat the back, or cover it with film. Keep LED front dry-ish; this is not waterproof.</t>
        </is>
      </c>
      <c r="D19" s="19" t="inlineStr">
        <is>
          <t>Medium</t>
        </is>
      </c>
    </row>
    <row r="20" ht="76" customHeight="1">
      <c r="A20" s="33" t="inlineStr">
        <is>
          <t>Rough solder joints and wire leads against the wrist</t>
        </is>
      </c>
      <c r="B20" s="19" t="inlineStr">
        <is>
          <t>Sharp pins/leads are uncomfortable and can cut the film over time.</t>
        </is>
      </c>
      <c r="C20" s="19" t="inlineStr">
        <is>
          <t>Round the board edges, trim leads, film or tape over the back, and keep the strap between.</t>
        </is>
      </c>
      <c r="D20" s="19" t="inlineStr">
        <is>
          <t>Medium</t>
        </is>
      </c>
    </row>
    <row r="21" ht="76" customHeight="1">
      <c r="A21" s="33" t="inlineStr">
        <is>
          <t>Cell swelling</t>
        </is>
      </c>
      <c r="B21" s="19" t="inlineStr">
        <is>
          <t>Renata's own datasheet lists maximum thickness above nominal (3.7 mm vs 3.4 mm) because cells swell (VERIFIED, ICP341018PM).</t>
        </is>
      </c>
      <c r="C21" s="19" t="inlineStr">
        <is>
          <t>Leave about 0.5 mm of space behind the cell; never glue it rigidly.</t>
        </is>
      </c>
      <c r="D21" s="19" t="inlineStr">
        <is>
          <t>Medium</t>
        </is>
      </c>
    </row>
    <row r="22" ht="76" customHeight="1">
      <c r="A22" s="33" t="inlineStr">
        <is>
          <t>Charging temperature</t>
        </is>
      </c>
      <c r="B22" s="19" t="inlineStr">
        <is>
          <t>Cells charge only at 0-45 C; a watch in the sun can exceed 45 C. Neither the BQ25570 nor the MCP73831 has a battery-temperature input (research report).</t>
        </is>
      </c>
      <c r="C22" s="19" t="inlineStr">
        <is>
          <t>Avoid charging in direct sun; consider adding an NTC thermistor later.</t>
        </is>
      </c>
      <c r="D22" s="19" t="inlineStr">
        <is>
          <t>Medium (solar only)</t>
        </is>
      </c>
    </row>
    <row r="23" ht="76" customHeight="1">
      <c r="A23" s="33" t="inlineStr">
        <is>
          <t>Thickness</t>
        </is>
      </c>
      <c r="B23" s="19" t="inlineStr">
        <is>
          <t>Board 1.6 mm + battery 3.7-5.5 mm + film + LEDs. See the total above.</t>
        </is>
      </c>
      <c r="C23" s="19" t="inlineStr">
        <is>
          <t>A thinner battery (35 or 50 mAh) saves about 2 mm; a thinner PCB saves up to 0.6 mm.</t>
        </is>
      </c>
      <c r="D23" s="19" t="inlineStr">
        <is>
          <t>Low</t>
        </is>
      </c>
    </row>
    <row r="24" ht="76" customHeight="1">
      <c r="A24" s="33" t="inlineStr">
        <is>
          <t>No housing</t>
        </is>
      </c>
      <c r="B24" s="19" t="inlineStr">
        <is>
          <t>Bumps and static discharge reach the chip directly; the MCU pin protection is basic.</t>
        </is>
      </c>
      <c r="C24" s="19" t="inlineStr">
        <is>
          <t>Add small ESD protection on the buttons (TVS) if it gets worn daily.</t>
        </is>
      </c>
      <c r="D24" s="19" t="inlineStr">
        <is>
          <t>Low</t>
        </is>
      </c>
    </row>
    <row r="25" ht="76" customHeight="1">
      <c r="A25" s="33" t="inlineStr">
        <is>
          <t>Nickel in ENIG</t>
        </is>
      </c>
      <c r="B25" s="19" t="inlineStr">
        <is>
          <t>ENIG has a nickel layer under the gold; a few people react to nickel if the gold wears through against skin.</t>
        </is>
      </c>
      <c r="C25" s="19" t="inlineStr">
        <is>
          <t>Film or coat the back so nothing metal touches skin.</t>
        </is>
      </c>
      <c r="D25" s="19" t="inlineStr">
        <is>
          <t>Low</t>
        </is>
      </c>
    </row>
  </sheetData>
  <mergeCells count="1">
    <mergeCell ref="A2:E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42" customWidth="1" min="1" max="1"/>
    <col width="90" customWidth="1" min="2" max="2"/>
    <col width="14" customWidth="1" min="3" max="3"/>
    <col width="44" customWidth="1" min="4" max="4"/>
  </cols>
  <sheetData>
    <row r="1">
      <c r="A1" s="1" t="inlineStr">
        <is>
          <t>Every shortcoming in one place (what could go wrong with each choice)</t>
        </is>
      </c>
    </row>
    <row r="2">
      <c r="A2" s="3" t="inlineStr">
        <is>
          <t>Verified on 2026-10-08 unless marked. Severity: HIGH = could block the build or change the design; MEDIUM = cost/risk to manage; LOW = minor.</t>
        </is>
      </c>
    </row>
    <row r="3"/>
    <row r="4">
      <c r="A4" s="17" t="inlineStr">
        <is>
          <t>Choice</t>
        </is>
      </c>
      <c r="B4" s="17" t="inlineStr">
        <is>
          <t>Shortcoming</t>
        </is>
      </c>
      <c r="C4" s="17" t="inlineStr">
        <is>
          <t>Severity</t>
        </is>
      </c>
      <c r="D4" s="17" t="inlineStr">
        <is>
          <t>Evidence</t>
        </is>
      </c>
    </row>
    <row r="5" ht="46" customHeight="1">
      <c r="A5" s="33" t="inlineStr">
        <is>
          <t>LED: white 0201 (Xinglight XL-0201UWC)</t>
        </is>
      </c>
      <c r="B5" s="19" t="inlineStr">
        <is>
          <t>Tiny to place; DigiKey sells only 5,000-piece reels; 185 mcd is dim at 0.3 mA.</t>
        </is>
      </c>
      <c r="C5" s="61" t="inlineStr">
        <is>
          <t>MEDIUM</t>
        </is>
      </c>
      <c r="D5" s="30" t="inlineStr">
        <is>
          <t>DigiKey page, JLCPCB page</t>
        </is>
      </c>
    </row>
    <row r="6" ht="46" customHeight="1">
      <c r="A6" s="33" t="inlineStr">
        <is>
          <t>LED: white 0402 (Xinglight XL-1005UWC)</t>
        </is>
      </c>
      <c r="B6" s="19" t="inlineStr">
        <is>
          <t>DigiKey reel-only (5,000); JLCPCB has a second listing for the same MPN with 0 stock.</t>
        </is>
      </c>
      <c r="C6" s="61" t="inlineStr">
        <is>
          <t>MEDIUM</t>
        </is>
      </c>
      <c r="D6" s="30" t="inlineStr">
        <is>
          <t>DigiKey, JLCPCB C20613596 and C965796</t>
        </is>
      </c>
    </row>
    <row r="7" ht="46" customHeight="1">
      <c r="A7" s="33" t="inlineStr">
        <is>
          <t>LED: white 0603 / 0805 Kento (KT-0603W / KT-0805W)</t>
        </is>
      </c>
      <c r="B7" s="19" t="inlineStr">
        <is>
          <t>Not on DigiKey (JLCPCB/LCSC only); wide brightness spread; datasheet and listing disagree for the 0805.</t>
        </is>
      </c>
      <c r="C7" s="61" t="inlineStr">
        <is>
          <t>MEDIUM</t>
        </is>
      </c>
      <c r="D7" s="30" t="inlineStr">
        <is>
          <t>JLCPCB C2290, C34499</t>
        </is>
      </c>
    </row>
    <row r="8" ht="46" customHeight="1">
      <c r="A8" s="33" t="inlineStr">
        <is>
          <t>LED: Dialight 0603 and Lite-On 0805 (DigiKey alternatives)</t>
        </is>
      </c>
      <c r="B8" s="19" t="inlineStr">
        <is>
          <t>25x and 12x the price of the Kento parts; Lite-On needs 3.3 V Vf, so it goes dark long before the battery is empty.</t>
        </is>
      </c>
      <c r="C8" s="61" t="inlineStr">
        <is>
          <t>MEDIUM</t>
        </is>
      </c>
      <c r="D8" s="30" t="inlineStr">
        <is>
          <t>DigiKey pages</t>
        </is>
      </c>
    </row>
    <row r="9" ht="46" customHeight="1">
      <c r="A9" s="33" t="inlineStr">
        <is>
          <t>LED drive (all white LEDs on a LiPo)</t>
        </is>
      </c>
      <c r="B9" s="19" t="inlineStr">
        <is>
          <t>With a 150 ohm resistor the LED current falls from ~8 mA at 4.2 V to 0 at ~3.0 V; brightness will swing ~4x over the battery range.</t>
        </is>
      </c>
      <c r="C9" s="62" t="inlineStr">
        <is>
          <t>HIGH</t>
        </is>
      </c>
      <c r="D9" s="30" t="inlineStr">
        <is>
          <t>Calculated on 'LED types' tab</t>
        </is>
      </c>
    </row>
    <row r="10" ht="46" customHeight="1">
      <c r="A10" s="33" t="inlineStr">
        <is>
          <t>RGB LED Harvatek B39D3RGB</t>
        </is>
      </c>
      <c r="B10" s="19" t="inlineStr">
        <is>
          <t>Obsolete, zero stock at JLCPCB; 0.3 mm pads cannot be hand-soldered.</t>
        </is>
      </c>
      <c r="C10" s="62" t="inlineStr">
        <is>
          <t>HIGH</t>
        </is>
      </c>
      <c r="D10" s="30" t="inlineStr">
        <is>
          <t>DigiKey 2026-10-06, JLCPCB 10/05</t>
        </is>
      </c>
    </row>
    <row r="11" ht="46" customHeight="1">
      <c r="A11" s="33" t="inlineStr">
        <is>
          <t>RGB LED Meihua MHPA0808RGBDT</t>
        </is>
      </c>
      <c r="B11" s="19" t="inlineStr">
        <is>
          <t>Common anode: the original matrix needs reversed drive; Vf up to 3.5 V.</t>
        </is>
      </c>
      <c r="C11" s="61" t="inlineStr">
        <is>
          <t>MEDIUM</t>
        </is>
      </c>
      <c r="D11" s="30" t="inlineStr">
        <is>
          <t>JLCPCB / LCSC datasheet</t>
        </is>
      </c>
    </row>
    <row r="12" ht="46" customHeight="1">
      <c r="A12" s="33" t="inlineStr">
        <is>
          <t>Sensor BMI270</t>
        </is>
      </c>
      <c r="B12" s="19" t="inlineStr">
        <is>
          <t>Always-on wake costs ~13 uA (~1 mWh/day, about half the watch); needs an 8 KB config upload at every power-up; priciest.</t>
        </is>
      </c>
      <c r="C12" s="61" t="inlineStr">
        <is>
          <t>MEDIUM</t>
        </is>
      </c>
      <c r="D12" s="30" t="inlineStr">
        <is>
          <t>BMI270 datasheet Table 6; DigiKey page</t>
        </is>
      </c>
    </row>
    <row r="13" ht="46" customHeight="1">
      <c r="A13" s="33" t="inlineStr">
        <is>
          <t>Sensor BMA400</t>
        </is>
      </c>
      <c r="B13" s="19" t="inlineStr">
        <is>
          <t>ZERO stock at DigiKey US on every listing; not checked at JLCPCB; no gyroscope.</t>
        </is>
      </c>
      <c r="C13" s="62" t="inlineStr">
        <is>
          <t>HIGH</t>
        </is>
      </c>
      <c r="D13" s="30" t="inlineStr">
        <is>
          <t>DigiKey pages 8634935 / 8634944 / 8634941</t>
        </is>
      </c>
    </row>
    <row r="14" ht="46" customHeight="1">
      <c r="A14" s="33" t="inlineStr">
        <is>
          <t>Sensor LIS2DW12</t>
        </is>
      </c>
      <c r="B14" s="19" t="inlineStr">
        <is>
          <t>Zero stock at DigiKey US (20-week lead time); datasheet figures not verified.</t>
        </is>
      </c>
      <c r="C14" s="61" t="inlineStr">
        <is>
          <t>MEDIUM</t>
        </is>
      </c>
      <c r="D14" s="30" t="inlineStr">
        <is>
          <t>DigiKey page; JLCPCB has 19,750</t>
        </is>
      </c>
    </row>
    <row r="15" ht="46" customHeight="1">
      <c r="A15" s="33" t="inlineStr">
        <is>
          <t>MCU AVR128DB48</t>
        </is>
      </c>
      <c r="B15" s="19" t="inlineStr">
        <is>
          <t>Thin supply: 217 at DigiKey, 60 at JLCPCB. Crystal pins are dedicated (PF0/PF1). Row pins cannot carry a full 12-LED row in game mode.</t>
        </is>
      </c>
      <c r="C15" s="61" t="inlineStr">
        <is>
          <t>MEDIUM</t>
        </is>
      </c>
      <c r="D15" s="30" t="inlineStr">
        <is>
          <t>DigiKey and JLCPCB pages; calculator</t>
        </is>
      </c>
    </row>
    <row r="16" ht="46" customHeight="1">
      <c r="A16" s="33" t="inlineStr">
        <is>
          <t>Solar cell: your KXOB081K06TF</t>
        </is>
      </c>
      <c r="B16" s="19" t="inlineStr">
        <is>
          <t>23 x 25 mm: forces a ~48-53 mm board with the LED rings around it.</t>
        </is>
      </c>
      <c r="C16" s="62" t="inlineStr">
        <is>
          <t>HIGH (size)</t>
        </is>
      </c>
      <c r="D16" s="30" t="inlineStr">
        <is>
          <t>Board size tab</t>
        </is>
      </c>
    </row>
    <row r="17" ht="46" customHeight="1">
      <c r="A17" s="33" t="inlineStr">
        <is>
          <t>Solar cell: Anysolar KXOB25-07X1TF</t>
        </is>
      </c>
      <c r="B17" s="19" t="inlineStr">
        <is>
          <t>No live stock found; datasheet 'Preliminary'; one 0.57 V cell is marginal for a harvester's cold start.</t>
        </is>
      </c>
      <c r="C17" s="61" t="inlineStr">
        <is>
          <t>MEDIUM</t>
        </is>
      </c>
      <c r="D17" s="30" t="inlineStr">
        <is>
          <t>Anysolar datasheet</t>
        </is>
      </c>
    </row>
    <row r="18" ht="46" customHeight="1">
      <c r="A18" s="33" t="inlineStr">
        <is>
          <t>Solar cell: Panasonic AM-1606C</t>
        </is>
      </c>
      <c r="B18" s="19" t="inlineStr">
        <is>
          <t>DISCONTINUED at DigiKey (640 left); thickness 0.7 mm (catalog) vs 0.9 mm (DigiKey); glass, bare electrodes, indoor-type (weak in sun).</t>
        </is>
      </c>
      <c r="C18" s="62" t="inlineStr">
        <is>
          <t>HIGH</t>
        </is>
      </c>
      <c r="D18" s="30" t="inlineStr">
        <is>
          <t>DigiKey page 25903138; Panasonic catalog</t>
        </is>
      </c>
    </row>
    <row r="19" ht="46" customHeight="1">
      <c r="A19" s="33" t="inlineStr">
        <is>
          <t>Harvester BQ25570</t>
        </is>
      </c>
      <c r="B19" s="19" t="inlineStr">
        <is>
          <t>Needs a custom footprint; UV cut-off fixed at 1.95 V so it requires a protected cell; $8.87 at DigiKey ($5.82 JLCPCB).</t>
        </is>
      </c>
      <c r="C19" s="61" t="inlineStr">
        <is>
          <t>MEDIUM</t>
        </is>
      </c>
      <c r="D19" s="30" t="inlineStr">
        <is>
          <t>TI datasheet; DigiKey; JLCPCB</t>
        </is>
      </c>
    </row>
    <row r="20" ht="46" customHeight="1">
      <c r="A20" s="33" t="inlineStr">
        <is>
          <t>Charger MCP73831 + LDO (Variant A)</t>
        </is>
      </c>
      <c r="B20" s="19" t="inlineStr">
        <is>
          <t>LDO has zero stock at DigiKey (LCSC not checked); charge pads need a charging dock or cable.</t>
        </is>
      </c>
      <c r="C20" s="63" t="inlineStr">
        <is>
          <t>LOW</t>
        </is>
      </c>
      <c r="D20" s="30" t="inlineStr">
        <is>
          <t>DigiKey pages</t>
        </is>
      </c>
    </row>
    <row r="21" ht="46" customHeight="1">
      <c r="A21" s="33" t="inlineStr">
        <is>
          <t>Battery Renata ICP cells</t>
        </is>
      </c>
      <c r="B21" s="19" t="inlineStr">
        <is>
          <t>All $12-14 each; three of four not stocked at Mouser (80 mAh has 3); 'USA only' flag; 0-45 C charging.</t>
        </is>
      </c>
      <c r="C21" s="62" t="inlineStr">
        <is>
          <t>HIGH</t>
        </is>
      </c>
      <c r="D21" s="30" t="inlineStr">
        <is>
          <t>Mouser pages 2026-10-08</t>
        </is>
      </c>
    </row>
    <row r="22" ht="46" customHeight="1">
      <c r="A22" s="33" t="inlineStr">
        <is>
          <t>Battery: 155 mAh</t>
        </is>
      </c>
      <c r="B22" s="19" t="inlineStr">
        <is>
          <t>27.5 x 20.5 mm: its diagonal forces a bigger board.</t>
        </is>
      </c>
      <c r="C22" s="61" t="inlineStr">
        <is>
          <t>MEDIUM</t>
        </is>
      </c>
      <c r="D22" s="30" t="inlineStr">
        <is>
          <t>Board size tab</t>
        </is>
      </c>
    </row>
    <row r="23" ht="46" customHeight="1">
      <c r="A23" s="33" t="inlineStr">
        <is>
          <t>Wearing it bare</t>
        </is>
      </c>
      <c r="B23" s="19" t="inlineStr">
        <is>
          <t>No housing: sweat, rough solder joints, battery swelling, charging in the sun; thickness ~8-10 mm.</t>
        </is>
      </c>
      <c r="C23" s="61" t="inlineStr">
        <is>
          <t>MEDIUM</t>
        </is>
      </c>
      <c r="D23" s="30" t="inlineStr">
        <is>
          <t>Wear and stack tab (reasoning)</t>
        </is>
      </c>
    </row>
    <row r="24" ht="46" customHeight="1">
      <c r="A24" s="33" t="inlineStr">
        <is>
          <t>Assembly of the whole board</t>
        </is>
      </c>
      <c r="B24" s="19" t="inlineStr">
        <is>
          <t>JLCPCB: LED rings with 0402/0603 are fine; fine-pitch 5-degree rotation is allowed as an extra service (not guaranteed).</t>
        </is>
      </c>
      <c r="C24" s="61" t="inlineStr">
        <is>
          <t>MEDIUM</t>
        </is>
      </c>
      <c r="D24" s="30" t="inlineStr">
        <is>
          <t>JLCPCB chat, 2026-10-05</t>
        </is>
      </c>
    </row>
  </sheetData>
  <mergeCells count="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52" customWidth="1" min="1" max="1"/>
    <col width="20" customWidth="1" min="2" max="2"/>
    <col width="20" customWidth="1" min="3" max="3"/>
    <col width="20" customWidth="1" min="4" max="4"/>
    <col width="20" customWidth="1" min="5" max="5"/>
  </cols>
  <sheetData>
    <row r="1">
      <c r="A1" s="1" t="inlineStr">
        <is>
          <t>Power budget: what the watch uses and what solar could give back</t>
        </is>
      </c>
    </row>
    <row r="2"/>
    <row r="3">
      <c r="A3" s="4" t="inlineStr">
        <is>
          <t>A. While the display is on (right now, with the LEDs chosen on the Inputs tab)</t>
        </is>
      </c>
      <c r="B3" s="15" t="n"/>
      <c r="C3" s="15" t="n"/>
      <c r="D3" s="15" t="n"/>
      <c r="E3" s="15" t="n"/>
    </row>
    <row r="4">
      <c r="A4" s="2" t="inlineStr">
        <is>
          <t>LED current drawn from the battery (mA)</t>
        </is>
      </c>
      <c r="B4" s="64">
        <f>SUM('Every LED'!L5:L136)</f>
        <v/>
      </c>
    </row>
    <row r="5">
      <c r="A5" s="2" t="inlineStr">
        <is>
          <t>LED power (mW)</t>
        </is>
      </c>
      <c r="B5" s="64">
        <f>SUM('Every LED'!M5:M136)</f>
        <v/>
      </c>
    </row>
    <row r="6">
      <c r="A6" s="2" t="inlineStr">
        <is>
          <t>MCU power while awake (mW)</t>
        </is>
      </c>
      <c r="B6" s="64">
        <f>Inputs!B5*Inputs!B27</f>
        <v/>
      </c>
    </row>
    <row r="7">
      <c r="A7" s="36" t="inlineStr">
        <is>
          <t>TOTAL display power (mW)</t>
        </is>
      </c>
      <c r="B7" s="65">
        <f>B5+B6</f>
        <v/>
      </c>
    </row>
    <row r="8">
      <c r="A8" s="2" t="inlineStr">
        <is>
          <t>Energy for one wake (mWh)</t>
        </is>
      </c>
      <c r="B8" s="47">
        <f>B7*Inputs!B25/3600</f>
        <v/>
      </c>
    </row>
    <row r="9">
      <c r="A9" s="36" t="inlineStr">
        <is>
          <t>Display energy per day (mWh)</t>
        </is>
      </c>
      <c r="B9" s="65">
        <f>B8*Inputs!B26</f>
        <v/>
      </c>
    </row>
    <row r="10"/>
    <row r="11">
      <c r="A11" s="4" t="inlineStr">
        <is>
          <t>B. Always on (waiting)</t>
        </is>
      </c>
      <c r="B11" s="15" t="n"/>
      <c r="C11" s="15" t="n"/>
      <c r="D11" s="15" t="n"/>
      <c r="E11" s="15" t="n"/>
    </row>
    <row r="12">
      <c r="A12" s="17" t="inlineStr">
        <is>
          <t>Component</t>
        </is>
      </c>
      <c r="B12" s="17" t="inlineStr">
        <is>
          <t>Current (uA)</t>
        </is>
      </c>
      <c r="C12" s="17" t="inlineStr">
        <is>
          <t>Supply (V)</t>
        </is>
      </c>
      <c r="D12" s="17" t="inlineStr">
        <is>
          <t>Power (uW)</t>
        </is>
      </c>
      <c r="E12" s="17" t="inlineStr">
        <is>
          <t>Energy per day (mWh)</t>
        </is>
      </c>
    </row>
    <row r="13">
      <c r="A13" s="2" t="inlineStr">
        <is>
          <t>MCU deep sleep + clock</t>
        </is>
      </c>
      <c r="B13" s="59">
        <f>Inputs!B30</f>
        <v/>
      </c>
      <c r="C13" s="59">
        <f>Inputs!B5</f>
        <v/>
      </c>
      <c r="D13" s="37">
        <f>B13*C13</f>
        <v/>
      </c>
      <c r="E13" s="64">
        <f>D13*24/1000</f>
        <v/>
      </c>
    </row>
    <row r="14">
      <c r="A14" s="2" t="inlineStr">
        <is>
          <t>3.3 V regulator quiescent</t>
        </is>
      </c>
      <c r="B14" s="59">
        <f>Inputs!B31</f>
        <v/>
      </c>
      <c r="C14" s="59">
        <f>Inputs!B5</f>
        <v/>
      </c>
      <c r="D14" s="37">
        <f>B14*C14</f>
        <v/>
      </c>
      <c r="E14" s="64">
        <f>D14*24/1000</f>
        <v/>
      </c>
    </row>
    <row r="15">
      <c r="A15" s="2">
        <f>"Wake method: "&amp;Inputs!B32</f>
        <v/>
      </c>
      <c r="B15" s="28">
        <f>INDEX(Lists!B2:B6,MATCH(Inputs!B32,Lists!A2:A6,0))</f>
        <v/>
      </c>
      <c r="C15" s="28">
        <f>INDEX(Lists!C2:C6,MATCH(Inputs!B32,Lists!A2:A6,0))</f>
        <v/>
      </c>
      <c r="D15" s="37">
        <f>B15*C15</f>
        <v/>
      </c>
      <c r="E15" s="64">
        <f>D15*24/1000</f>
        <v/>
      </c>
    </row>
    <row r="16">
      <c r="A16" s="2" t="inlineStr">
        <is>
          <t>Battery self-discharge</t>
        </is>
      </c>
      <c r="D16" s="37">
        <f>E16*1000/24</f>
        <v/>
      </c>
      <c r="E16" s="64">
        <f>Inputs!B7*Inputs!B8/30</f>
        <v/>
      </c>
    </row>
    <row r="17">
      <c r="A17" s="36" t="inlineStr">
        <is>
          <t>TOTAL always-on</t>
        </is>
      </c>
      <c r="D17" s="9">
        <f>SUM(D13:D16)</f>
        <v/>
      </c>
      <c r="E17" s="65">
        <f>SUM(E13:E16)</f>
        <v/>
      </c>
    </row>
    <row r="18"/>
    <row r="19">
      <c r="A19" s="4" t="inlineStr">
        <is>
          <t>C. Daily total and battery life with no solar</t>
        </is>
      </c>
      <c r="B19" s="15" t="n"/>
      <c r="C19" s="15" t="n"/>
      <c r="D19" s="15" t="n"/>
      <c r="E19" s="15" t="n"/>
    </row>
    <row r="20">
      <c r="A20" s="2" t="inlineStr">
        <is>
          <t>Display energy per day (mWh)</t>
        </is>
      </c>
      <c r="B20" s="64">
        <f>B9</f>
        <v/>
      </c>
    </row>
    <row r="21">
      <c r="A21" s="2" t="inlineStr">
        <is>
          <t>Always-on energy per day (mWh)</t>
        </is>
      </c>
      <c r="B21" s="64">
        <f>E17</f>
        <v/>
      </c>
    </row>
    <row r="22">
      <c r="A22" s="36" t="inlineStr">
        <is>
          <t>TOTAL load per day (mWh)</t>
        </is>
      </c>
      <c r="B22" s="65">
        <f>B20+B21</f>
        <v/>
      </c>
    </row>
    <row r="23">
      <c r="A23" s="36" t="inlineStr">
        <is>
          <t>Battery life with no solar (days)</t>
        </is>
      </c>
      <c r="B23" s="39">
        <f>IF(B22&gt;0,Inputs!B7/B22,0)</f>
        <v/>
      </c>
    </row>
    <row r="24">
      <c r="A24" s="2" t="inlineStr">
        <is>
          <t>Share of the load that is the display</t>
        </is>
      </c>
      <c r="B24" s="66">
        <f>IF(B22&gt;0,B20/B22,0)</f>
        <v/>
      </c>
    </row>
    <row r="25">
      <c r="A25" s="2" t="inlineStr">
        <is>
          <t>Share of the load that is the wake sensor</t>
        </is>
      </c>
      <c r="B25" s="66">
        <f>IF(B22&gt;0,E15/B22,0)</f>
        <v/>
      </c>
    </row>
    <row r="26"/>
    <row r="27">
      <c r="A27" s="4" t="inlineStr">
        <is>
          <t>D. With the solar cell and profile picked on the Inputs tab</t>
        </is>
      </c>
      <c r="B27" s="15" t="n"/>
      <c r="C27" s="15" t="n"/>
      <c r="D27" s="15" t="n"/>
      <c r="E27" s="15" t="n"/>
    </row>
    <row r="28">
      <c r="A28" s="2" t="inlineStr">
        <is>
          <t>Cell</t>
        </is>
      </c>
      <c r="B28" s="57">
        <f>Inputs!B37</f>
        <v/>
      </c>
    </row>
    <row r="29">
      <c r="A29" s="2" t="inlineStr">
        <is>
          <t>Profile</t>
        </is>
      </c>
      <c r="B29" s="57">
        <f>Inputs!B38</f>
        <v/>
      </c>
    </row>
    <row r="30">
      <c r="A30" s="36" t="inlineStr">
        <is>
          <t>Harvest per day (mWh), counted only for Variant B</t>
        </is>
      </c>
      <c r="B30" s="65">
        <f>IF(Inputs!B60="B: solar harvester",INDEX(Solar!B28:D30,MATCH(Inputs!B37,Solar!A28:A30,0),MATCH(Inputs!B38,Solar!B27:D27,0)),0)</f>
        <v/>
      </c>
    </row>
    <row r="31">
      <c r="A31" s="2" t="inlineStr">
        <is>
          <t>Solar covers this much of the load</t>
        </is>
      </c>
      <c r="B31" s="66">
        <f>IF(B22&gt;0,B30/B22,0)</f>
        <v/>
      </c>
    </row>
    <row r="32">
      <c r="A32" s="2" t="inlineStr">
        <is>
          <t>Net drain on the battery per day (mWh)</t>
        </is>
      </c>
      <c r="B32" s="64">
        <f>MAX(0,B22-B30)</f>
        <v/>
      </c>
    </row>
    <row r="33">
      <c r="A33" s="36" t="inlineStr">
        <is>
          <t>Battery life with solar (days)</t>
        </is>
      </c>
      <c r="B33" s="39">
        <f>IF(B32&lt;=0.0001,"never runs down",Inputs!B7/B32)</f>
        <v/>
      </c>
    </row>
    <row r="34"/>
    <row r="35">
      <c r="A35" s="4" t="inlineStr">
        <is>
          <t>E. What if I change the PWM dimming? (all three LEDs at the same duty; other inputs as above)</t>
        </is>
      </c>
      <c r="B35" s="15" t="n"/>
      <c r="C35" s="15" t="n"/>
      <c r="D35" s="15" t="n"/>
      <c r="E35" s="15" t="n"/>
    </row>
    <row r="36" ht="42" customHeight="1">
      <c r="A36" s="17" t="inlineStr">
        <is>
          <t>PWM duty (all LEDs)</t>
        </is>
      </c>
      <c r="B36" s="17" t="inlineStr">
        <is>
          <t>Total current of the 3 lit LEDs (mA)</t>
        </is>
      </c>
      <c r="C36" s="17" t="inlineStr">
        <is>
          <t>Display energy per day (mWh)</t>
        </is>
      </c>
      <c r="D36" s="17" t="inlineStr">
        <is>
          <t>Total load per day (mWh)</t>
        </is>
      </c>
      <c r="E36" s="17" t="inlineStr">
        <is>
          <t>Battery life with no solar (days)</t>
        </is>
      </c>
    </row>
    <row r="37">
      <c r="A37" s="12" t="n">
        <v>0.05</v>
      </c>
      <c r="B37" s="64">
        <f>('LED types'!$F$5+'LED types'!$F$6+'LED types'!$F$7)*'LED types'!$G$5*A37</f>
        <v/>
      </c>
      <c r="C37" s="64">
        <f>(Inputs!$B$5*B37+Inputs!$B$5*Inputs!$B$27)*Inputs!$B$25/3600*Inputs!$B$26</f>
        <v/>
      </c>
      <c r="D37" s="64">
        <f>C37+$E$17</f>
        <v/>
      </c>
      <c r="E37" s="42">
        <f>IF(D37&gt;0,Inputs!$B$7/D37,0)</f>
        <v/>
      </c>
    </row>
    <row r="38">
      <c r="A38" s="12" t="n">
        <v>0.1</v>
      </c>
      <c r="B38" s="64">
        <f>('LED types'!$F$5+'LED types'!$F$6+'LED types'!$F$7)*'LED types'!$G$5*A38</f>
        <v/>
      </c>
      <c r="C38" s="64">
        <f>(Inputs!$B$5*B38+Inputs!$B$5*Inputs!$B$27)*Inputs!$B$25/3600*Inputs!$B$26</f>
        <v/>
      </c>
      <c r="D38" s="64">
        <f>C38+$E$17</f>
        <v/>
      </c>
      <c r="E38" s="42">
        <f>IF(D38&gt;0,Inputs!$B$7/D38,0)</f>
        <v/>
      </c>
    </row>
    <row r="39">
      <c r="A39" s="12" t="n">
        <v>0.2</v>
      </c>
      <c r="B39" s="64">
        <f>('LED types'!$F$5+'LED types'!$F$6+'LED types'!$F$7)*'LED types'!$G$5*A39</f>
        <v/>
      </c>
      <c r="C39" s="64">
        <f>(Inputs!$B$5*B39+Inputs!$B$5*Inputs!$B$27)*Inputs!$B$25/3600*Inputs!$B$26</f>
        <v/>
      </c>
      <c r="D39" s="64">
        <f>C39+$E$17</f>
        <v/>
      </c>
      <c r="E39" s="42">
        <f>IF(D39&gt;0,Inputs!$B$7/D39,0)</f>
        <v/>
      </c>
    </row>
    <row r="40">
      <c r="A40" s="12" t="n">
        <v>0.3</v>
      </c>
      <c r="B40" s="64">
        <f>('LED types'!$F$5+'LED types'!$F$6+'LED types'!$F$7)*'LED types'!$G$5*A40</f>
        <v/>
      </c>
      <c r="C40" s="64">
        <f>(Inputs!$B$5*B40+Inputs!$B$5*Inputs!$B$27)*Inputs!$B$25/3600*Inputs!$B$26</f>
        <v/>
      </c>
      <c r="D40" s="64">
        <f>C40+$E$17</f>
        <v/>
      </c>
      <c r="E40" s="42">
        <f>IF(D40&gt;0,Inputs!$B$7/D40,0)</f>
        <v/>
      </c>
    </row>
    <row r="41">
      <c r="A41" s="12" t="n">
        <v>0.5</v>
      </c>
      <c r="B41" s="64">
        <f>('LED types'!$F$5+'LED types'!$F$6+'LED types'!$F$7)*'LED types'!$G$5*A41</f>
        <v/>
      </c>
      <c r="C41" s="64">
        <f>(Inputs!$B$5*B41+Inputs!$B$5*Inputs!$B$27)*Inputs!$B$25/3600*Inputs!$B$26</f>
        <v/>
      </c>
      <c r="D41" s="64">
        <f>C41+$E$17</f>
        <v/>
      </c>
      <c r="E41" s="42">
        <f>IF(D41&gt;0,Inputs!$B$7/D41,0)</f>
        <v/>
      </c>
    </row>
    <row r="42">
      <c r="A42" s="12" t="n">
        <v>0.75</v>
      </c>
      <c r="B42" s="64">
        <f>('LED types'!$F$5+'LED types'!$F$6+'LED types'!$F$7)*'LED types'!$G$5*A42</f>
        <v/>
      </c>
      <c r="C42" s="64">
        <f>(Inputs!$B$5*B42+Inputs!$B$5*Inputs!$B$27)*Inputs!$B$25/3600*Inputs!$B$26</f>
        <v/>
      </c>
      <c r="D42" s="64">
        <f>C42+$E$17</f>
        <v/>
      </c>
      <c r="E42" s="42">
        <f>IF(D42&gt;0,Inputs!$B$7/D42,0)</f>
        <v/>
      </c>
    </row>
    <row r="43">
      <c r="A43" s="12" t="n">
        <v>1</v>
      </c>
      <c r="B43" s="64">
        <f>('LED types'!$F$5+'LED types'!$F$6+'LED types'!$F$7)*'LED types'!$G$5*A43</f>
        <v/>
      </c>
      <c r="C43" s="64">
        <f>(Inputs!$B$5*B43+Inputs!$B$5*Inputs!$B$27)*Inputs!$B$25/3600*Inputs!$B$26</f>
        <v/>
      </c>
      <c r="D43" s="64">
        <f>C43+$E$17</f>
        <v/>
      </c>
      <c r="E43" s="42">
        <f>IF(D43&gt;0,Inputs!$B$7/D43,0)</f>
        <v/>
      </c>
    </row>
    <row r="44"/>
    <row r="45"/>
    <row r="46">
      <c r="A46" s="4" t="inlineStr">
        <is>
          <t>F. Where the energy goes (mWh per day)</t>
        </is>
      </c>
      <c r="B46" s="15" t="n"/>
      <c r="C46" s="15" t="n"/>
      <c r="D46" s="15" t="n"/>
      <c r="E46" s="15" t="n"/>
    </row>
    <row r="47">
      <c r="A47" s="2" t="inlineStr">
        <is>
          <t>Display</t>
        </is>
      </c>
      <c r="B47" s="64">
        <f>B9</f>
        <v/>
      </c>
    </row>
    <row r="48">
      <c r="A48" s="2" t="inlineStr">
        <is>
          <t>MCU sleep</t>
        </is>
      </c>
      <c r="B48" s="64">
        <f>E13</f>
        <v/>
      </c>
    </row>
    <row r="49">
      <c r="A49" s="2" t="inlineStr">
        <is>
          <t>Regulator</t>
        </is>
      </c>
      <c r="B49" s="64">
        <f>E14</f>
        <v/>
      </c>
    </row>
    <row r="50">
      <c r="A50" s="2" t="inlineStr">
        <is>
          <t>Wake sensor</t>
        </is>
      </c>
      <c r="B50" s="64">
        <f>E15</f>
        <v/>
      </c>
    </row>
    <row r="51">
      <c r="A51" s="2" t="inlineStr">
        <is>
          <t>Self-discharge</t>
        </is>
      </c>
      <c r="B51" s="64">
        <f>E16</f>
        <v/>
      </c>
    </row>
    <row r="52"/>
    <row r="53"/>
    <row r="54">
      <c r="A54" s="4" t="inlineStr">
        <is>
          <t>G. Special mode (fluid / gravity / tilt game)</t>
        </is>
      </c>
      <c r="B54" s="15" t="n"/>
      <c r="C54" s="15" t="n"/>
      <c r="D54" s="15" t="n"/>
      <c r="E54" s="15" t="n"/>
    </row>
    <row r="55">
      <c r="A55" s="2" t="inlineStr">
        <is>
          <t>LED on-current used (mA)</t>
        </is>
      </c>
      <c r="B55" s="64">
        <f>AVERAGE('LED types'!F5:F7)</f>
        <v/>
      </c>
    </row>
    <row r="56">
      <c r="A56" s="2" t="inlineStr">
        <is>
          <t>Average current per lit LED in special mode (mA)</t>
        </is>
      </c>
      <c r="B56" s="64">
        <f>B55/Inputs!B47*Inputs!B48</f>
        <v/>
      </c>
    </row>
    <row r="57">
      <c r="A57" s="2" t="inlineStr">
        <is>
          <t>Total LED current while playing (mA)</t>
        </is>
      </c>
      <c r="B57" s="28">
        <f>Inputs!B46*B56</f>
        <v/>
      </c>
    </row>
    <row r="58">
      <c r="A58" s="2" t="inlineStr">
        <is>
          <t>Motion sensor current in game mode (uA)</t>
        </is>
      </c>
      <c r="B58" s="37">
        <f>INDEX(Lists!G2:G6,MATCH(Inputs!B51,Lists!F2:F6,0))</f>
        <v/>
      </c>
    </row>
    <row r="59">
      <c r="A59" s="36" t="inlineStr">
        <is>
          <t>Total power while playing (mW)</t>
        </is>
      </c>
      <c r="B59" s="51">
        <f>Inputs!B5*(B57+Inputs!B53)+B58*3.3/1000</f>
        <v/>
      </c>
    </row>
    <row r="60">
      <c r="A60" s="36" t="inlineStr">
        <is>
          <t>Special-mode energy per day (mWh)</t>
        </is>
      </c>
      <c r="B60" s="65">
        <f>B59*Inputs!B45/60</f>
        <v/>
      </c>
    </row>
    <row r="61">
      <c r="A61" s="36" t="inlineStr">
        <is>
          <t>TOTAL load per day including special mode (mWh)</t>
        </is>
      </c>
      <c r="B61" s="65">
        <f>B22+B60</f>
        <v/>
      </c>
    </row>
    <row r="62">
      <c r="A62" s="36" t="inlineStr">
        <is>
          <t>Battery life including special mode, no solar (days)</t>
        </is>
      </c>
      <c r="B62" s="39">
        <f>IF(B61&gt;0,Inputs!B7/B61,0)</f>
        <v/>
      </c>
    </row>
    <row r="63">
      <c r="A63" s="2" t="inlineStr">
        <is>
          <t>Share of the day's energy that is special mode</t>
        </is>
      </c>
      <c r="B63" s="66">
        <f>IF(B61&gt;0,B60/B61,0)</f>
        <v/>
      </c>
    </row>
    <row r="64">
      <c r="A64" s="2" t="inlineStr">
        <is>
          <t>Worst-case current through one MCU ROW pin (mA)</t>
        </is>
      </c>
      <c r="B64" s="37">
        <f>Inputs!B49*B55</f>
        <v/>
      </c>
    </row>
    <row r="65">
      <c r="A65" s="2" t="inlineStr">
        <is>
          <t>Limit you set for one pin (mA)</t>
        </is>
      </c>
      <c r="B65" s="60">
        <f>Inputs!B50</f>
        <v/>
      </c>
    </row>
    <row r="66">
      <c r="A66" s="36" t="inlineStr">
        <is>
          <t>Verdict on driving the rows straight from the MCU</t>
        </is>
      </c>
      <c r="B66" s="40">
        <f>IF(B64&lt;=B65,"OK as is","TOO HIGH: row pins need driver transistors, or a lower on-current / fewer LEDs per row")</f>
        <v/>
      </c>
    </row>
  </sheetData>
  <mergeCells count="1">
    <mergeCell ref="B66:E66"/>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N136"/>
  <sheetViews>
    <sheetView workbookViewId="0">
      <pane ySplit="4" topLeftCell="A5" activePane="bottomLeft" state="frozen"/>
      <selection pane="bottomLeft" activeCell="A1" sqref="A1"/>
    </sheetView>
  </sheetViews>
  <sheetFormatPr baseColWidth="8" defaultRowHeight="15"/>
  <cols>
    <col width="8" customWidth="1" min="1" max="1"/>
    <col width="9" customWidth="1" min="2" max="2"/>
    <col width="22" customWidth="1" min="3" max="3"/>
    <col width="18" customWidth="1" min="4" max="4"/>
    <col width="10" customWidth="1" min="5" max="5"/>
    <col width="10" customWidth="1" min="6" max="6"/>
    <col width="12" customWidth="1" min="7" max="7"/>
    <col width="16" customWidth="1" min="8" max="8"/>
    <col width="18" customWidth="1" min="9" max="9"/>
    <col width="18" customWidth="1" min="10" max="10"/>
    <col width="12" customWidth="1" min="11" max="11"/>
    <col width="12" customWidth="1" min="12" max="12"/>
    <col width="12" customWidth="1" min="13" max="13"/>
    <col width="18" customWidth="1" min="14" max="14"/>
  </cols>
  <sheetData>
    <row r="1">
      <c r="A1" s="1" t="inlineStr">
        <is>
          <t>Every one of the 132 LEDs: position, matrix wiring, and power draw</t>
        </is>
      </c>
    </row>
    <row r="2">
      <c r="A2" s="36" t="inlineStr">
        <is>
          <t>LEDs lit right now:</t>
        </is>
      </c>
      <c r="C2" s="39">
        <f>SUM(K5:K136)</f>
        <v/>
      </c>
      <c r="D2" s="36" t="inlineStr">
        <is>
          <t>Their total battery power right now (mW):</t>
        </is>
      </c>
      <c r="H2" s="65">
        <f>SUM(M5:M136)</f>
        <v/>
      </c>
    </row>
    <row r="3">
      <c r="A3" s="7" t="inlineStr">
        <is>
          <t>Change the shown time on the Inputs tab (rows 22-24) to light a different set of 3 LEDs.</t>
        </is>
      </c>
    </row>
    <row r="4" ht="62" customHeight="1">
      <c r="A4" s="17" t="inlineStr">
        <is>
          <t>LED</t>
        </is>
      </c>
      <c r="B4" s="17" t="inlineStr">
        <is>
          <t>Type</t>
        </is>
      </c>
      <c r="C4" s="17" t="inlineStr">
        <is>
          <t>Position (hour 1-12, or minute/second 0-59)</t>
        </is>
      </c>
      <c r="D4" s="17" t="inlineStr">
        <is>
          <t>Clock angle (deg, clockwise from 12)</t>
        </is>
      </c>
      <c r="E4" s="17" t="inlineStr">
        <is>
          <t>Matrix row</t>
        </is>
      </c>
      <c r="F4" s="17" t="inlineStr">
        <is>
          <t>Matrix column</t>
        </is>
      </c>
      <c r="G4" s="17" t="inlineStr">
        <is>
          <t>On-current (mA)</t>
        </is>
      </c>
      <c r="H4" s="17" t="inlineStr">
        <is>
          <t>Average current when lit (mA)</t>
        </is>
      </c>
      <c r="I4" s="17" t="inlineStr">
        <is>
          <t>Average battery power when lit (mW)</t>
        </is>
      </c>
      <c r="J4" s="17" t="inlineStr">
        <is>
          <t>Instantaneous power in its slot (mW)</t>
        </is>
      </c>
      <c r="K4" s="17" t="inlineStr">
        <is>
          <t>Lit now? (1 = yes)</t>
        </is>
      </c>
      <c r="L4" s="17" t="inlineStr">
        <is>
          <t>Current now (mA)</t>
        </is>
      </c>
      <c r="M4" s="17" t="inlineStr">
        <is>
          <t>Power now (mW)</t>
        </is>
      </c>
      <c r="N4" s="17" t="inlineStr">
        <is>
          <t>Energy for one display event (mWh)</t>
        </is>
      </c>
    </row>
    <row r="5">
      <c r="A5" s="2" t="inlineStr">
        <is>
          <t>H1</t>
        </is>
      </c>
      <c r="B5" s="2" t="inlineStr">
        <is>
          <t>Hour</t>
        </is>
      </c>
      <c r="C5" s="42" t="n">
        <v>1</v>
      </c>
      <c r="D5" s="42">
        <f>IF(B5="Hour",MOD(C5,12)*30,C5*6)</f>
        <v/>
      </c>
      <c r="E5" s="42">
        <f>IF(B5="Hour",0,IF(B5="Minute",1+MOD(C5,5),6+MOD(C5,5)))</f>
        <v/>
      </c>
      <c r="F5" s="42">
        <f>IF(B5="Hour",MOD(C5,12),INT(C5/5))</f>
        <v/>
      </c>
      <c r="G5" s="64">
        <f>INDEX('LED types'!$F$5:$F$7,MATCH($B5,'LED types'!$A$5:$A$7,0))</f>
        <v/>
      </c>
      <c r="H5" s="64">
        <f>INDEX('LED types'!$H$5:$H$7,MATCH($B5,'LED types'!$A$5:$A$7,0))</f>
        <v/>
      </c>
      <c r="I5" s="64">
        <f>INDEX('LED types'!$I$5:$I$7,MATCH($B5,'LED types'!$A$5:$A$7,0))</f>
        <v/>
      </c>
      <c r="J5" s="64">
        <f>INDEX('LED types'!$J$5:$J$7,MATCH($B5,'LED types'!$A$5:$A$7,0))</f>
        <v/>
      </c>
      <c r="K5" s="42">
        <f>IF(OR(AND(B5="Hour",C5=Inputs!$B$22),AND(B5="Minute",C5=Inputs!$B$23),AND(B5="Second",C5=Inputs!$B$24)),1,0)</f>
        <v/>
      </c>
      <c r="L5" s="64">
        <f>K5*H5</f>
        <v/>
      </c>
      <c r="M5" s="64">
        <f>K5*I5</f>
        <v/>
      </c>
      <c r="N5" s="47">
        <f>K5*I5*Inputs!$B$25/3600</f>
        <v/>
      </c>
    </row>
    <row r="6">
      <c r="A6" s="2" t="inlineStr">
        <is>
          <t>H2</t>
        </is>
      </c>
      <c r="B6" s="2" t="inlineStr">
        <is>
          <t>Hour</t>
        </is>
      </c>
      <c r="C6" s="42" t="n">
        <v>2</v>
      </c>
      <c r="D6" s="42">
        <f>IF(B6="Hour",MOD(C6,12)*30,C6*6)</f>
        <v/>
      </c>
      <c r="E6" s="42">
        <f>IF(B6="Hour",0,IF(B6="Minute",1+MOD(C6,5),6+MOD(C6,5)))</f>
        <v/>
      </c>
      <c r="F6" s="42">
        <f>IF(B6="Hour",MOD(C6,12),INT(C6/5))</f>
        <v/>
      </c>
      <c r="G6" s="64">
        <f>INDEX('LED types'!$F$5:$F$7,MATCH($B6,'LED types'!$A$5:$A$7,0))</f>
        <v/>
      </c>
      <c r="H6" s="64">
        <f>INDEX('LED types'!$H$5:$H$7,MATCH($B6,'LED types'!$A$5:$A$7,0))</f>
        <v/>
      </c>
      <c r="I6" s="64">
        <f>INDEX('LED types'!$I$5:$I$7,MATCH($B6,'LED types'!$A$5:$A$7,0))</f>
        <v/>
      </c>
      <c r="J6" s="64">
        <f>INDEX('LED types'!$J$5:$J$7,MATCH($B6,'LED types'!$A$5:$A$7,0))</f>
        <v/>
      </c>
      <c r="K6" s="42">
        <f>IF(OR(AND(B6="Hour",C6=Inputs!$B$22),AND(B6="Minute",C6=Inputs!$B$23),AND(B6="Second",C6=Inputs!$B$24)),1,0)</f>
        <v/>
      </c>
      <c r="L6" s="64">
        <f>K6*H6</f>
        <v/>
      </c>
      <c r="M6" s="64">
        <f>K6*I6</f>
        <v/>
      </c>
      <c r="N6" s="47">
        <f>K6*I6*Inputs!$B$25/3600</f>
        <v/>
      </c>
    </row>
    <row r="7">
      <c r="A7" s="2" t="inlineStr">
        <is>
          <t>H3</t>
        </is>
      </c>
      <c r="B7" s="2" t="inlineStr">
        <is>
          <t>Hour</t>
        </is>
      </c>
      <c r="C7" s="42" t="n">
        <v>3</v>
      </c>
      <c r="D7" s="42">
        <f>IF(B7="Hour",MOD(C7,12)*30,C7*6)</f>
        <v/>
      </c>
      <c r="E7" s="42">
        <f>IF(B7="Hour",0,IF(B7="Minute",1+MOD(C7,5),6+MOD(C7,5)))</f>
        <v/>
      </c>
      <c r="F7" s="42">
        <f>IF(B7="Hour",MOD(C7,12),INT(C7/5))</f>
        <v/>
      </c>
      <c r="G7" s="64">
        <f>INDEX('LED types'!$F$5:$F$7,MATCH($B7,'LED types'!$A$5:$A$7,0))</f>
        <v/>
      </c>
      <c r="H7" s="64">
        <f>INDEX('LED types'!$H$5:$H$7,MATCH($B7,'LED types'!$A$5:$A$7,0))</f>
        <v/>
      </c>
      <c r="I7" s="64">
        <f>INDEX('LED types'!$I$5:$I$7,MATCH($B7,'LED types'!$A$5:$A$7,0))</f>
        <v/>
      </c>
      <c r="J7" s="64">
        <f>INDEX('LED types'!$J$5:$J$7,MATCH($B7,'LED types'!$A$5:$A$7,0))</f>
        <v/>
      </c>
      <c r="K7" s="42">
        <f>IF(OR(AND(B7="Hour",C7=Inputs!$B$22),AND(B7="Minute",C7=Inputs!$B$23),AND(B7="Second",C7=Inputs!$B$24)),1,0)</f>
        <v/>
      </c>
      <c r="L7" s="64">
        <f>K7*H7</f>
        <v/>
      </c>
      <c r="M7" s="64">
        <f>K7*I7</f>
        <v/>
      </c>
      <c r="N7" s="47">
        <f>K7*I7*Inputs!$B$25/3600</f>
        <v/>
      </c>
    </row>
    <row r="8">
      <c r="A8" s="2" t="inlineStr">
        <is>
          <t>H4</t>
        </is>
      </c>
      <c r="B8" s="2" t="inlineStr">
        <is>
          <t>Hour</t>
        </is>
      </c>
      <c r="C8" s="42" t="n">
        <v>4</v>
      </c>
      <c r="D8" s="42">
        <f>IF(B8="Hour",MOD(C8,12)*30,C8*6)</f>
        <v/>
      </c>
      <c r="E8" s="42">
        <f>IF(B8="Hour",0,IF(B8="Minute",1+MOD(C8,5),6+MOD(C8,5)))</f>
        <v/>
      </c>
      <c r="F8" s="42">
        <f>IF(B8="Hour",MOD(C8,12),INT(C8/5))</f>
        <v/>
      </c>
      <c r="G8" s="64">
        <f>INDEX('LED types'!$F$5:$F$7,MATCH($B8,'LED types'!$A$5:$A$7,0))</f>
        <v/>
      </c>
      <c r="H8" s="64">
        <f>INDEX('LED types'!$H$5:$H$7,MATCH($B8,'LED types'!$A$5:$A$7,0))</f>
        <v/>
      </c>
      <c r="I8" s="64">
        <f>INDEX('LED types'!$I$5:$I$7,MATCH($B8,'LED types'!$A$5:$A$7,0))</f>
        <v/>
      </c>
      <c r="J8" s="64">
        <f>INDEX('LED types'!$J$5:$J$7,MATCH($B8,'LED types'!$A$5:$A$7,0))</f>
        <v/>
      </c>
      <c r="K8" s="42">
        <f>IF(OR(AND(B8="Hour",C8=Inputs!$B$22),AND(B8="Minute",C8=Inputs!$B$23),AND(B8="Second",C8=Inputs!$B$24)),1,0)</f>
        <v/>
      </c>
      <c r="L8" s="64">
        <f>K8*H8</f>
        <v/>
      </c>
      <c r="M8" s="64">
        <f>K8*I8</f>
        <v/>
      </c>
      <c r="N8" s="47">
        <f>K8*I8*Inputs!$B$25/3600</f>
        <v/>
      </c>
    </row>
    <row r="9">
      <c r="A9" s="2" t="inlineStr">
        <is>
          <t>H5</t>
        </is>
      </c>
      <c r="B9" s="2" t="inlineStr">
        <is>
          <t>Hour</t>
        </is>
      </c>
      <c r="C9" s="42" t="n">
        <v>5</v>
      </c>
      <c r="D9" s="42">
        <f>IF(B9="Hour",MOD(C9,12)*30,C9*6)</f>
        <v/>
      </c>
      <c r="E9" s="42">
        <f>IF(B9="Hour",0,IF(B9="Minute",1+MOD(C9,5),6+MOD(C9,5)))</f>
        <v/>
      </c>
      <c r="F9" s="42">
        <f>IF(B9="Hour",MOD(C9,12),INT(C9/5))</f>
        <v/>
      </c>
      <c r="G9" s="64">
        <f>INDEX('LED types'!$F$5:$F$7,MATCH($B9,'LED types'!$A$5:$A$7,0))</f>
        <v/>
      </c>
      <c r="H9" s="64">
        <f>INDEX('LED types'!$H$5:$H$7,MATCH($B9,'LED types'!$A$5:$A$7,0))</f>
        <v/>
      </c>
      <c r="I9" s="64">
        <f>INDEX('LED types'!$I$5:$I$7,MATCH($B9,'LED types'!$A$5:$A$7,0))</f>
        <v/>
      </c>
      <c r="J9" s="64">
        <f>INDEX('LED types'!$J$5:$J$7,MATCH($B9,'LED types'!$A$5:$A$7,0))</f>
        <v/>
      </c>
      <c r="K9" s="42">
        <f>IF(OR(AND(B9="Hour",C9=Inputs!$B$22),AND(B9="Minute",C9=Inputs!$B$23),AND(B9="Second",C9=Inputs!$B$24)),1,0)</f>
        <v/>
      </c>
      <c r="L9" s="64">
        <f>K9*H9</f>
        <v/>
      </c>
      <c r="M9" s="64">
        <f>K9*I9</f>
        <v/>
      </c>
      <c r="N9" s="47">
        <f>K9*I9*Inputs!$B$25/3600</f>
        <v/>
      </c>
    </row>
    <row r="10">
      <c r="A10" s="2" t="inlineStr">
        <is>
          <t>H6</t>
        </is>
      </c>
      <c r="B10" s="2" t="inlineStr">
        <is>
          <t>Hour</t>
        </is>
      </c>
      <c r="C10" s="42" t="n">
        <v>6</v>
      </c>
      <c r="D10" s="42">
        <f>IF(B10="Hour",MOD(C10,12)*30,C10*6)</f>
        <v/>
      </c>
      <c r="E10" s="42">
        <f>IF(B10="Hour",0,IF(B10="Minute",1+MOD(C10,5),6+MOD(C10,5)))</f>
        <v/>
      </c>
      <c r="F10" s="42">
        <f>IF(B10="Hour",MOD(C10,12),INT(C10/5))</f>
        <v/>
      </c>
      <c r="G10" s="64">
        <f>INDEX('LED types'!$F$5:$F$7,MATCH($B10,'LED types'!$A$5:$A$7,0))</f>
        <v/>
      </c>
      <c r="H10" s="64">
        <f>INDEX('LED types'!$H$5:$H$7,MATCH($B10,'LED types'!$A$5:$A$7,0))</f>
        <v/>
      </c>
      <c r="I10" s="64">
        <f>INDEX('LED types'!$I$5:$I$7,MATCH($B10,'LED types'!$A$5:$A$7,0))</f>
        <v/>
      </c>
      <c r="J10" s="64">
        <f>INDEX('LED types'!$J$5:$J$7,MATCH($B10,'LED types'!$A$5:$A$7,0))</f>
        <v/>
      </c>
      <c r="K10" s="42">
        <f>IF(OR(AND(B10="Hour",C10=Inputs!$B$22),AND(B10="Minute",C10=Inputs!$B$23),AND(B10="Second",C10=Inputs!$B$24)),1,0)</f>
        <v/>
      </c>
      <c r="L10" s="64">
        <f>K10*H10</f>
        <v/>
      </c>
      <c r="M10" s="64">
        <f>K10*I10</f>
        <v/>
      </c>
      <c r="N10" s="47">
        <f>K10*I10*Inputs!$B$25/3600</f>
        <v/>
      </c>
    </row>
    <row r="11">
      <c r="A11" s="2" t="inlineStr">
        <is>
          <t>H7</t>
        </is>
      </c>
      <c r="B11" s="2" t="inlineStr">
        <is>
          <t>Hour</t>
        </is>
      </c>
      <c r="C11" s="42" t="n">
        <v>7</v>
      </c>
      <c r="D11" s="42">
        <f>IF(B11="Hour",MOD(C11,12)*30,C11*6)</f>
        <v/>
      </c>
      <c r="E11" s="42">
        <f>IF(B11="Hour",0,IF(B11="Minute",1+MOD(C11,5),6+MOD(C11,5)))</f>
        <v/>
      </c>
      <c r="F11" s="42">
        <f>IF(B11="Hour",MOD(C11,12),INT(C11/5))</f>
        <v/>
      </c>
      <c r="G11" s="64">
        <f>INDEX('LED types'!$F$5:$F$7,MATCH($B11,'LED types'!$A$5:$A$7,0))</f>
        <v/>
      </c>
      <c r="H11" s="64">
        <f>INDEX('LED types'!$H$5:$H$7,MATCH($B11,'LED types'!$A$5:$A$7,0))</f>
        <v/>
      </c>
      <c r="I11" s="64">
        <f>INDEX('LED types'!$I$5:$I$7,MATCH($B11,'LED types'!$A$5:$A$7,0))</f>
        <v/>
      </c>
      <c r="J11" s="64">
        <f>INDEX('LED types'!$J$5:$J$7,MATCH($B11,'LED types'!$A$5:$A$7,0))</f>
        <v/>
      </c>
      <c r="K11" s="42">
        <f>IF(OR(AND(B11="Hour",C11=Inputs!$B$22),AND(B11="Minute",C11=Inputs!$B$23),AND(B11="Second",C11=Inputs!$B$24)),1,0)</f>
        <v/>
      </c>
      <c r="L11" s="64">
        <f>K11*H11</f>
        <v/>
      </c>
      <c r="M11" s="64">
        <f>K11*I11</f>
        <v/>
      </c>
      <c r="N11" s="47">
        <f>K11*I11*Inputs!$B$25/3600</f>
        <v/>
      </c>
    </row>
    <row r="12">
      <c r="A12" s="2" t="inlineStr">
        <is>
          <t>H8</t>
        </is>
      </c>
      <c r="B12" s="2" t="inlineStr">
        <is>
          <t>Hour</t>
        </is>
      </c>
      <c r="C12" s="42" t="n">
        <v>8</v>
      </c>
      <c r="D12" s="42">
        <f>IF(B12="Hour",MOD(C12,12)*30,C12*6)</f>
        <v/>
      </c>
      <c r="E12" s="42">
        <f>IF(B12="Hour",0,IF(B12="Minute",1+MOD(C12,5),6+MOD(C12,5)))</f>
        <v/>
      </c>
      <c r="F12" s="42">
        <f>IF(B12="Hour",MOD(C12,12),INT(C12/5))</f>
        <v/>
      </c>
      <c r="G12" s="64">
        <f>INDEX('LED types'!$F$5:$F$7,MATCH($B12,'LED types'!$A$5:$A$7,0))</f>
        <v/>
      </c>
      <c r="H12" s="64">
        <f>INDEX('LED types'!$H$5:$H$7,MATCH($B12,'LED types'!$A$5:$A$7,0))</f>
        <v/>
      </c>
      <c r="I12" s="64">
        <f>INDEX('LED types'!$I$5:$I$7,MATCH($B12,'LED types'!$A$5:$A$7,0))</f>
        <v/>
      </c>
      <c r="J12" s="64">
        <f>INDEX('LED types'!$J$5:$J$7,MATCH($B12,'LED types'!$A$5:$A$7,0))</f>
        <v/>
      </c>
      <c r="K12" s="42">
        <f>IF(OR(AND(B12="Hour",C12=Inputs!$B$22),AND(B12="Minute",C12=Inputs!$B$23),AND(B12="Second",C12=Inputs!$B$24)),1,0)</f>
        <v/>
      </c>
      <c r="L12" s="64">
        <f>K12*H12</f>
        <v/>
      </c>
      <c r="M12" s="64">
        <f>K12*I12</f>
        <v/>
      </c>
      <c r="N12" s="47">
        <f>K12*I12*Inputs!$B$25/3600</f>
        <v/>
      </c>
    </row>
    <row r="13">
      <c r="A13" s="2" t="inlineStr">
        <is>
          <t>H9</t>
        </is>
      </c>
      <c r="B13" s="2" t="inlineStr">
        <is>
          <t>Hour</t>
        </is>
      </c>
      <c r="C13" s="42" t="n">
        <v>9</v>
      </c>
      <c r="D13" s="42">
        <f>IF(B13="Hour",MOD(C13,12)*30,C13*6)</f>
        <v/>
      </c>
      <c r="E13" s="42">
        <f>IF(B13="Hour",0,IF(B13="Minute",1+MOD(C13,5),6+MOD(C13,5)))</f>
        <v/>
      </c>
      <c r="F13" s="42">
        <f>IF(B13="Hour",MOD(C13,12),INT(C13/5))</f>
        <v/>
      </c>
      <c r="G13" s="64">
        <f>INDEX('LED types'!$F$5:$F$7,MATCH($B13,'LED types'!$A$5:$A$7,0))</f>
        <v/>
      </c>
      <c r="H13" s="64">
        <f>INDEX('LED types'!$H$5:$H$7,MATCH($B13,'LED types'!$A$5:$A$7,0))</f>
        <v/>
      </c>
      <c r="I13" s="64">
        <f>INDEX('LED types'!$I$5:$I$7,MATCH($B13,'LED types'!$A$5:$A$7,0))</f>
        <v/>
      </c>
      <c r="J13" s="64">
        <f>INDEX('LED types'!$J$5:$J$7,MATCH($B13,'LED types'!$A$5:$A$7,0))</f>
        <v/>
      </c>
      <c r="K13" s="42">
        <f>IF(OR(AND(B13="Hour",C13=Inputs!$B$22),AND(B13="Minute",C13=Inputs!$B$23),AND(B13="Second",C13=Inputs!$B$24)),1,0)</f>
        <v/>
      </c>
      <c r="L13" s="64">
        <f>K13*H13</f>
        <v/>
      </c>
      <c r="M13" s="64">
        <f>K13*I13</f>
        <v/>
      </c>
      <c r="N13" s="47">
        <f>K13*I13*Inputs!$B$25/3600</f>
        <v/>
      </c>
    </row>
    <row r="14">
      <c r="A14" s="2" t="inlineStr">
        <is>
          <t>H10</t>
        </is>
      </c>
      <c r="B14" s="2" t="inlineStr">
        <is>
          <t>Hour</t>
        </is>
      </c>
      <c r="C14" s="42" t="n">
        <v>10</v>
      </c>
      <c r="D14" s="42">
        <f>IF(B14="Hour",MOD(C14,12)*30,C14*6)</f>
        <v/>
      </c>
      <c r="E14" s="42">
        <f>IF(B14="Hour",0,IF(B14="Minute",1+MOD(C14,5),6+MOD(C14,5)))</f>
        <v/>
      </c>
      <c r="F14" s="42">
        <f>IF(B14="Hour",MOD(C14,12),INT(C14/5))</f>
        <v/>
      </c>
      <c r="G14" s="64">
        <f>INDEX('LED types'!$F$5:$F$7,MATCH($B14,'LED types'!$A$5:$A$7,0))</f>
        <v/>
      </c>
      <c r="H14" s="64">
        <f>INDEX('LED types'!$H$5:$H$7,MATCH($B14,'LED types'!$A$5:$A$7,0))</f>
        <v/>
      </c>
      <c r="I14" s="64">
        <f>INDEX('LED types'!$I$5:$I$7,MATCH($B14,'LED types'!$A$5:$A$7,0))</f>
        <v/>
      </c>
      <c r="J14" s="64">
        <f>INDEX('LED types'!$J$5:$J$7,MATCH($B14,'LED types'!$A$5:$A$7,0))</f>
        <v/>
      </c>
      <c r="K14" s="42">
        <f>IF(OR(AND(B14="Hour",C14=Inputs!$B$22),AND(B14="Minute",C14=Inputs!$B$23),AND(B14="Second",C14=Inputs!$B$24)),1,0)</f>
        <v/>
      </c>
      <c r="L14" s="64">
        <f>K14*H14</f>
        <v/>
      </c>
      <c r="M14" s="64">
        <f>K14*I14</f>
        <v/>
      </c>
      <c r="N14" s="47">
        <f>K14*I14*Inputs!$B$25/3600</f>
        <v/>
      </c>
    </row>
    <row r="15">
      <c r="A15" s="2" t="inlineStr">
        <is>
          <t>H11</t>
        </is>
      </c>
      <c r="B15" s="2" t="inlineStr">
        <is>
          <t>Hour</t>
        </is>
      </c>
      <c r="C15" s="42" t="n">
        <v>11</v>
      </c>
      <c r="D15" s="42">
        <f>IF(B15="Hour",MOD(C15,12)*30,C15*6)</f>
        <v/>
      </c>
      <c r="E15" s="42">
        <f>IF(B15="Hour",0,IF(B15="Minute",1+MOD(C15,5),6+MOD(C15,5)))</f>
        <v/>
      </c>
      <c r="F15" s="42">
        <f>IF(B15="Hour",MOD(C15,12),INT(C15/5))</f>
        <v/>
      </c>
      <c r="G15" s="64">
        <f>INDEX('LED types'!$F$5:$F$7,MATCH($B15,'LED types'!$A$5:$A$7,0))</f>
        <v/>
      </c>
      <c r="H15" s="64">
        <f>INDEX('LED types'!$H$5:$H$7,MATCH($B15,'LED types'!$A$5:$A$7,0))</f>
        <v/>
      </c>
      <c r="I15" s="64">
        <f>INDEX('LED types'!$I$5:$I$7,MATCH($B15,'LED types'!$A$5:$A$7,0))</f>
        <v/>
      </c>
      <c r="J15" s="64">
        <f>INDEX('LED types'!$J$5:$J$7,MATCH($B15,'LED types'!$A$5:$A$7,0))</f>
        <v/>
      </c>
      <c r="K15" s="42">
        <f>IF(OR(AND(B15="Hour",C15=Inputs!$B$22),AND(B15="Minute",C15=Inputs!$B$23),AND(B15="Second",C15=Inputs!$B$24)),1,0)</f>
        <v/>
      </c>
      <c r="L15" s="64">
        <f>K15*H15</f>
        <v/>
      </c>
      <c r="M15" s="64">
        <f>K15*I15</f>
        <v/>
      </c>
      <c r="N15" s="47">
        <f>K15*I15*Inputs!$B$25/3600</f>
        <v/>
      </c>
    </row>
    <row r="16">
      <c r="A16" s="2" t="inlineStr">
        <is>
          <t>H12</t>
        </is>
      </c>
      <c r="B16" s="2" t="inlineStr">
        <is>
          <t>Hour</t>
        </is>
      </c>
      <c r="C16" s="42" t="n">
        <v>12</v>
      </c>
      <c r="D16" s="42">
        <f>IF(B16="Hour",MOD(C16,12)*30,C16*6)</f>
        <v/>
      </c>
      <c r="E16" s="42">
        <f>IF(B16="Hour",0,IF(B16="Minute",1+MOD(C16,5),6+MOD(C16,5)))</f>
        <v/>
      </c>
      <c r="F16" s="42">
        <f>IF(B16="Hour",MOD(C16,12),INT(C16/5))</f>
        <v/>
      </c>
      <c r="G16" s="64">
        <f>INDEX('LED types'!$F$5:$F$7,MATCH($B16,'LED types'!$A$5:$A$7,0))</f>
        <v/>
      </c>
      <c r="H16" s="64">
        <f>INDEX('LED types'!$H$5:$H$7,MATCH($B16,'LED types'!$A$5:$A$7,0))</f>
        <v/>
      </c>
      <c r="I16" s="64">
        <f>INDEX('LED types'!$I$5:$I$7,MATCH($B16,'LED types'!$A$5:$A$7,0))</f>
        <v/>
      </c>
      <c r="J16" s="64">
        <f>INDEX('LED types'!$J$5:$J$7,MATCH($B16,'LED types'!$A$5:$A$7,0))</f>
        <v/>
      </c>
      <c r="K16" s="42">
        <f>IF(OR(AND(B16="Hour",C16=Inputs!$B$22),AND(B16="Minute",C16=Inputs!$B$23),AND(B16="Second",C16=Inputs!$B$24)),1,0)</f>
        <v/>
      </c>
      <c r="L16" s="64">
        <f>K16*H16</f>
        <v/>
      </c>
      <c r="M16" s="64">
        <f>K16*I16</f>
        <v/>
      </c>
      <c r="N16" s="47">
        <f>K16*I16*Inputs!$B$25/3600</f>
        <v/>
      </c>
    </row>
    <row r="17">
      <c r="A17" s="2" t="inlineStr">
        <is>
          <t>M0</t>
        </is>
      </c>
      <c r="B17" s="2" t="inlineStr">
        <is>
          <t>Minute</t>
        </is>
      </c>
      <c r="C17" s="42" t="n">
        <v>0</v>
      </c>
      <c r="D17" s="42">
        <f>IF(B17="Hour",MOD(C17,12)*30,C17*6)</f>
        <v/>
      </c>
      <c r="E17" s="42">
        <f>IF(B17="Hour",0,IF(B17="Minute",1+MOD(C17,5),6+MOD(C17,5)))</f>
        <v/>
      </c>
      <c r="F17" s="42">
        <f>IF(B17="Hour",MOD(C17,12),INT(C17/5))</f>
        <v/>
      </c>
      <c r="G17" s="64">
        <f>INDEX('LED types'!$F$5:$F$7,MATCH($B17,'LED types'!$A$5:$A$7,0))</f>
        <v/>
      </c>
      <c r="H17" s="64">
        <f>INDEX('LED types'!$H$5:$H$7,MATCH($B17,'LED types'!$A$5:$A$7,0))</f>
        <v/>
      </c>
      <c r="I17" s="64">
        <f>INDEX('LED types'!$I$5:$I$7,MATCH($B17,'LED types'!$A$5:$A$7,0))</f>
        <v/>
      </c>
      <c r="J17" s="64">
        <f>INDEX('LED types'!$J$5:$J$7,MATCH($B17,'LED types'!$A$5:$A$7,0))</f>
        <v/>
      </c>
      <c r="K17" s="42">
        <f>IF(OR(AND(B17="Hour",C17=Inputs!$B$22),AND(B17="Minute",C17=Inputs!$B$23),AND(B17="Second",C17=Inputs!$B$24)),1,0)</f>
        <v/>
      </c>
      <c r="L17" s="64">
        <f>K17*H17</f>
        <v/>
      </c>
      <c r="M17" s="64">
        <f>K17*I17</f>
        <v/>
      </c>
      <c r="N17" s="47">
        <f>K17*I17*Inputs!$B$25/3600</f>
        <v/>
      </c>
    </row>
    <row r="18">
      <c r="A18" s="2" t="inlineStr">
        <is>
          <t>M1</t>
        </is>
      </c>
      <c r="B18" s="2" t="inlineStr">
        <is>
          <t>Minute</t>
        </is>
      </c>
      <c r="C18" s="42" t="n">
        <v>1</v>
      </c>
      <c r="D18" s="42">
        <f>IF(B18="Hour",MOD(C18,12)*30,C18*6)</f>
        <v/>
      </c>
      <c r="E18" s="42">
        <f>IF(B18="Hour",0,IF(B18="Minute",1+MOD(C18,5),6+MOD(C18,5)))</f>
        <v/>
      </c>
      <c r="F18" s="42">
        <f>IF(B18="Hour",MOD(C18,12),INT(C18/5))</f>
        <v/>
      </c>
      <c r="G18" s="64">
        <f>INDEX('LED types'!$F$5:$F$7,MATCH($B18,'LED types'!$A$5:$A$7,0))</f>
        <v/>
      </c>
      <c r="H18" s="64">
        <f>INDEX('LED types'!$H$5:$H$7,MATCH($B18,'LED types'!$A$5:$A$7,0))</f>
        <v/>
      </c>
      <c r="I18" s="64">
        <f>INDEX('LED types'!$I$5:$I$7,MATCH($B18,'LED types'!$A$5:$A$7,0))</f>
        <v/>
      </c>
      <c r="J18" s="64">
        <f>INDEX('LED types'!$J$5:$J$7,MATCH($B18,'LED types'!$A$5:$A$7,0))</f>
        <v/>
      </c>
      <c r="K18" s="42">
        <f>IF(OR(AND(B18="Hour",C18=Inputs!$B$22),AND(B18="Minute",C18=Inputs!$B$23),AND(B18="Second",C18=Inputs!$B$24)),1,0)</f>
        <v/>
      </c>
      <c r="L18" s="64">
        <f>K18*H18</f>
        <v/>
      </c>
      <c r="M18" s="64">
        <f>K18*I18</f>
        <v/>
      </c>
      <c r="N18" s="47">
        <f>K18*I18*Inputs!$B$25/3600</f>
        <v/>
      </c>
    </row>
    <row r="19">
      <c r="A19" s="2" t="inlineStr">
        <is>
          <t>M2</t>
        </is>
      </c>
      <c r="B19" s="2" t="inlineStr">
        <is>
          <t>Minute</t>
        </is>
      </c>
      <c r="C19" s="42" t="n">
        <v>2</v>
      </c>
      <c r="D19" s="42">
        <f>IF(B19="Hour",MOD(C19,12)*30,C19*6)</f>
        <v/>
      </c>
      <c r="E19" s="42">
        <f>IF(B19="Hour",0,IF(B19="Minute",1+MOD(C19,5),6+MOD(C19,5)))</f>
        <v/>
      </c>
      <c r="F19" s="42">
        <f>IF(B19="Hour",MOD(C19,12),INT(C19/5))</f>
        <v/>
      </c>
      <c r="G19" s="64">
        <f>INDEX('LED types'!$F$5:$F$7,MATCH($B19,'LED types'!$A$5:$A$7,0))</f>
        <v/>
      </c>
      <c r="H19" s="64">
        <f>INDEX('LED types'!$H$5:$H$7,MATCH($B19,'LED types'!$A$5:$A$7,0))</f>
        <v/>
      </c>
      <c r="I19" s="64">
        <f>INDEX('LED types'!$I$5:$I$7,MATCH($B19,'LED types'!$A$5:$A$7,0))</f>
        <v/>
      </c>
      <c r="J19" s="64">
        <f>INDEX('LED types'!$J$5:$J$7,MATCH($B19,'LED types'!$A$5:$A$7,0))</f>
        <v/>
      </c>
      <c r="K19" s="42">
        <f>IF(OR(AND(B19="Hour",C19=Inputs!$B$22),AND(B19="Minute",C19=Inputs!$B$23),AND(B19="Second",C19=Inputs!$B$24)),1,0)</f>
        <v/>
      </c>
      <c r="L19" s="64">
        <f>K19*H19</f>
        <v/>
      </c>
      <c r="M19" s="64">
        <f>K19*I19</f>
        <v/>
      </c>
      <c r="N19" s="47">
        <f>K19*I19*Inputs!$B$25/3600</f>
        <v/>
      </c>
    </row>
    <row r="20">
      <c r="A20" s="2" t="inlineStr">
        <is>
          <t>M3</t>
        </is>
      </c>
      <c r="B20" s="2" t="inlineStr">
        <is>
          <t>Minute</t>
        </is>
      </c>
      <c r="C20" s="42" t="n">
        <v>3</v>
      </c>
      <c r="D20" s="42">
        <f>IF(B20="Hour",MOD(C20,12)*30,C20*6)</f>
        <v/>
      </c>
      <c r="E20" s="42">
        <f>IF(B20="Hour",0,IF(B20="Minute",1+MOD(C20,5),6+MOD(C20,5)))</f>
        <v/>
      </c>
      <c r="F20" s="42">
        <f>IF(B20="Hour",MOD(C20,12),INT(C20/5))</f>
        <v/>
      </c>
      <c r="G20" s="64">
        <f>INDEX('LED types'!$F$5:$F$7,MATCH($B20,'LED types'!$A$5:$A$7,0))</f>
        <v/>
      </c>
      <c r="H20" s="64">
        <f>INDEX('LED types'!$H$5:$H$7,MATCH($B20,'LED types'!$A$5:$A$7,0))</f>
        <v/>
      </c>
      <c r="I20" s="64">
        <f>INDEX('LED types'!$I$5:$I$7,MATCH($B20,'LED types'!$A$5:$A$7,0))</f>
        <v/>
      </c>
      <c r="J20" s="64">
        <f>INDEX('LED types'!$J$5:$J$7,MATCH($B20,'LED types'!$A$5:$A$7,0))</f>
        <v/>
      </c>
      <c r="K20" s="42">
        <f>IF(OR(AND(B20="Hour",C20=Inputs!$B$22),AND(B20="Minute",C20=Inputs!$B$23),AND(B20="Second",C20=Inputs!$B$24)),1,0)</f>
        <v/>
      </c>
      <c r="L20" s="64">
        <f>K20*H20</f>
        <v/>
      </c>
      <c r="M20" s="64">
        <f>K20*I20</f>
        <v/>
      </c>
      <c r="N20" s="47">
        <f>K20*I20*Inputs!$B$25/3600</f>
        <v/>
      </c>
    </row>
    <row r="21">
      <c r="A21" s="2" t="inlineStr">
        <is>
          <t>M4</t>
        </is>
      </c>
      <c r="B21" s="2" t="inlineStr">
        <is>
          <t>Minute</t>
        </is>
      </c>
      <c r="C21" s="42" t="n">
        <v>4</v>
      </c>
      <c r="D21" s="42">
        <f>IF(B21="Hour",MOD(C21,12)*30,C21*6)</f>
        <v/>
      </c>
      <c r="E21" s="42">
        <f>IF(B21="Hour",0,IF(B21="Minute",1+MOD(C21,5),6+MOD(C21,5)))</f>
        <v/>
      </c>
      <c r="F21" s="42">
        <f>IF(B21="Hour",MOD(C21,12),INT(C21/5))</f>
        <v/>
      </c>
      <c r="G21" s="64">
        <f>INDEX('LED types'!$F$5:$F$7,MATCH($B21,'LED types'!$A$5:$A$7,0))</f>
        <v/>
      </c>
      <c r="H21" s="64">
        <f>INDEX('LED types'!$H$5:$H$7,MATCH($B21,'LED types'!$A$5:$A$7,0))</f>
        <v/>
      </c>
      <c r="I21" s="64">
        <f>INDEX('LED types'!$I$5:$I$7,MATCH($B21,'LED types'!$A$5:$A$7,0))</f>
        <v/>
      </c>
      <c r="J21" s="64">
        <f>INDEX('LED types'!$J$5:$J$7,MATCH($B21,'LED types'!$A$5:$A$7,0))</f>
        <v/>
      </c>
      <c r="K21" s="42">
        <f>IF(OR(AND(B21="Hour",C21=Inputs!$B$22),AND(B21="Minute",C21=Inputs!$B$23),AND(B21="Second",C21=Inputs!$B$24)),1,0)</f>
        <v/>
      </c>
      <c r="L21" s="64">
        <f>K21*H21</f>
        <v/>
      </c>
      <c r="M21" s="64">
        <f>K21*I21</f>
        <v/>
      </c>
      <c r="N21" s="47">
        <f>K21*I21*Inputs!$B$25/3600</f>
        <v/>
      </c>
    </row>
    <row r="22">
      <c r="A22" s="2" t="inlineStr">
        <is>
          <t>M5</t>
        </is>
      </c>
      <c r="B22" s="2" t="inlineStr">
        <is>
          <t>Minute</t>
        </is>
      </c>
      <c r="C22" s="42" t="n">
        <v>5</v>
      </c>
      <c r="D22" s="42">
        <f>IF(B22="Hour",MOD(C22,12)*30,C22*6)</f>
        <v/>
      </c>
      <c r="E22" s="42">
        <f>IF(B22="Hour",0,IF(B22="Minute",1+MOD(C22,5),6+MOD(C22,5)))</f>
        <v/>
      </c>
      <c r="F22" s="42">
        <f>IF(B22="Hour",MOD(C22,12),INT(C22/5))</f>
        <v/>
      </c>
      <c r="G22" s="64">
        <f>INDEX('LED types'!$F$5:$F$7,MATCH($B22,'LED types'!$A$5:$A$7,0))</f>
        <v/>
      </c>
      <c r="H22" s="64">
        <f>INDEX('LED types'!$H$5:$H$7,MATCH($B22,'LED types'!$A$5:$A$7,0))</f>
        <v/>
      </c>
      <c r="I22" s="64">
        <f>INDEX('LED types'!$I$5:$I$7,MATCH($B22,'LED types'!$A$5:$A$7,0))</f>
        <v/>
      </c>
      <c r="J22" s="64">
        <f>INDEX('LED types'!$J$5:$J$7,MATCH($B22,'LED types'!$A$5:$A$7,0))</f>
        <v/>
      </c>
      <c r="K22" s="42">
        <f>IF(OR(AND(B22="Hour",C22=Inputs!$B$22),AND(B22="Minute",C22=Inputs!$B$23),AND(B22="Second",C22=Inputs!$B$24)),1,0)</f>
        <v/>
      </c>
      <c r="L22" s="64">
        <f>K22*H22</f>
        <v/>
      </c>
      <c r="M22" s="64">
        <f>K22*I22</f>
        <v/>
      </c>
      <c r="N22" s="47">
        <f>K22*I22*Inputs!$B$25/3600</f>
        <v/>
      </c>
    </row>
    <row r="23">
      <c r="A23" s="2" t="inlineStr">
        <is>
          <t>M6</t>
        </is>
      </c>
      <c r="B23" s="2" t="inlineStr">
        <is>
          <t>Minute</t>
        </is>
      </c>
      <c r="C23" s="42" t="n">
        <v>6</v>
      </c>
      <c r="D23" s="42">
        <f>IF(B23="Hour",MOD(C23,12)*30,C23*6)</f>
        <v/>
      </c>
      <c r="E23" s="42">
        <f>IF(B23="Hour",0,IF(B23="Minute",1+MOD(C23,5),6+MOD(C23,5)))</f>
        <v/>
      </c>
      <c r="F23" s="42">
        <f>IF(B23="Hour",MOD(C23,12),INT(C23/5))</f>
        <v/>
      </c>
      <c r="G23" s="64">
        <f>INDEX('LED types'!$F$5:$F$7,MATCH($B23,'LED types'!$A$5:$A$7,0))</f>
        <v/>
      </c>
      <c r="H23" s="64">
        <f>INDEX('LED types'!$H$5:$H$7,MATCH($B23,'LED types'!$A$5:$A$7,0))</f>
        <v/>
      </c>
      <c r="I23" s="64">
        <f>INDEX('LED types'!$I$5:$I$7,MATCH($B23,'LED types'!$A$5:$A$7,0))</f>
        <v/>
      </c>
      <c r="J23" s="64">
        <f>INDEX('LED types'!$J$5:$J$7,MATCH($B23,'LED types'!$A$5:$A$7,0))</f>
        <v/>
      </c>
      <c r="K23" s="42">
        <f>IF(OR(AND(B23="Hour",C23=Inputs!$B$22),AND(B23="Minute",C23=Inputs!$B$23),AND(B23="Second",C23=Inputs!$B$24)),1,0)</f>
        <v/>
      </c>
      <c r="L23" s="64">
        <f>K23*H23</f>
        <v/>
      </c>
      <c r="M23" s="64">
        <f>K23*I23</f>
        <v/>
      </c>
      <c r="N23" s="47">
        <f>K23*I23*Inputs!$B$25/3600</f>
        <v/>
      </c>
    </row>
    <row r="24">
      <c r="A24" s="2" t="inlineStr">
        <is>
          <t>M7</t>
        </is>
      </c>
      <c r="B24" s="2" t="inlineStr">
        <is>
          <t>Minute</t>
        </is>
      </c>
      <c r="C24" s="42" t="n">
        <v>7</v>
      </c>
      <c r="D24" s="42">
        <f>IF(B24="Hour",MOD(C24,12)*30,C24*6)</f>
        <v/>
      </c>
      <c r="E24" s="42">
        <f>IF(B24="Hour",0,IF(B24="Minute",1+MOD(C24,5),6+MOD(C24,5)))</f>
        <v/>
      </c>
      <c r="F24" s="42">
        <f>IF(B24="Hour",MOD(C24,12),INT(C24/5))</f>
        <v/>
      </c>
      <c r="G24" s="64">
        <f>INDEX('LED types'!$F$5:$F$7,MATCH($B24,'LED types'!$A$5:$A$7,0))</f>
        <v/>
      </c>
      <c r="H24" s="64">
        <f>INDEX('LED types'!$H$5:$H$7,MATCH($B24,'LED types'!$A$5:$A$7,0))</f>
        <v/>
      </c>
      <c r="I24" s="64">
        <f>INDEX('LED types'!$I$5:$I$7,MATCH($B24,'LED types'!$A$5:$A$7,0))</f>
        <v/>
      </c>
      <c r="J24" s="64">
        <f>INDEX('LED types'!$J$5:$J$7,MATCH($B24,'LED types'!$A$5:$A$7,0))</f>
        <v/>
      </c>
      <c r="K24" s="42">
        <f>IF(OR(AND(B24="Hour",C24=Inputs!$B$22),AND(B24="Minute",C24=Inputs!$B$23),AND(B24="Second",C24=Inputs!$B$24)),1,0)</f>
        <v/>
      </c>
      <c r="L24" s="64">
        <f>K24*H24</f>
        <v/>
      </c>
      <c r="M24" s="64">
        <f>K24*I24</f>
        <v/>
      </c>
      <c r="N24" s="47">
        <f>K24*I24*Inputs!$B$25/3600</f>
        <v/>
      </c>
    </row>
    <row r="25">
      <c r="A25" s="2" t="inlineStr">
        <is>
          <t>M8</t>
        </is>
      </c>
      <c r="B25" s="2" t="inlineStr">
        <is>
          <t>Minute</t>
        </is>
      </c>
      <c r="C25" s="42" t="n">
        <v>8</v>
      </c>
      <c r="D25" s="42">
        <f>IF(B25="Hour",MOD(C25,12)*30,C25*6)</f>
        <v/>
      </c>
      <c r="E25" s="42">
        <f>IF(B25="Hour",0,IF(B25="Minute",1+MOD(C25,5),6+MOD(C25,5)))</f>
        <v/>
      </c>
      <c r="F25" s="42">
        <f>IF(B25="Hour",MOD(C25,12),INT(C25/5))</f>
        <v/>
      </c>
      <c r="G25" s="64">
        <f>INDEX('LED types'!$F$5:$F$7,MATCH($B25,'LED types'!$A$5:$A$7,0))</f>
        <v/>
      </c>
      <c r="H25" s="64">
        <f>INDEX('LED types'!$H$5:$H$7,MATCH($B25,'LED types'!$A$5:$A$7,0))</f>
        <v/>
      </c>
      <c r="I25" s="64">
        <f>INDEX('LED types'!$I$5:$I$7,MATCH($B25,'LED types'!$A$5:$A$7,0))</f>
        <v/>
      </c>
      <c r="J25" s="64">
        <f>INDEX('LED types'!$J$5:$J$7,MATCH($B25,'LED types'!$A$5:$A$7,0))</f>
        <v/>
      </c>
      <c r="K25" s="42">
        <f>IF(OR(AND(B25="Hour",C25=Inputs!$B$22),AND(B25="Minute",C25=Inputs!$B$23),AND(B25="Second",C25=Inputs!$B$24)),1,0)</f>
        <v/>
      </c>
      <c r="L25" s="64">
        <f>K25*H25</f>
        <v/>
      </c>
      <c r="M25" s="64">
        <f>K25*I25</f>
        <v/>
      </c>
      <c r="N25" s="47">
        <f>K25*I25*Inputs!$B$25/3600</f>
        <v/>
      </c>
    </row>
    <row r="26">
      <c r="A26" s="2" t="inlineStr">
        <is>
          <t>M9</t>
        </is>
      </c>
      <c r="B26" s="2" t="inlineStr">
        <is>
          <t>Minute</t>
        </is>
      </c>
      <c r="C26" s="42" t="n">
        <v>9</v>
      </c>
      <c r="D26" s="42">
        <f>IF(B26="Hour",MOD(C26,12)*30,C26*6)</f>
        <v/>
      </c>
      <c r="E26" s="42">
        <f>IF(B26="Hour",0,IF(B26="Minute",1+MOD(C26,5),6+MOD(C26,5)))</f>
        <v/>
      </c>
      <c r="F26" s="42">
        <f>IF(B26="Hour",MOD(C26,12),INT(C26/5))</f>
        <v/>
      </c>
      <c r="G26" s="64">
        <f>INDEX('LED types'!$F$5:$F$7,MATCH($B26,'LED types'!$A$5:$A$7,0))</f>
        <v/>
      </c>
      <c r="H26" s="64">
        <f>INDEX('LED types'!$H$5:$H$7,MATCH($B26,'LED types'!$A$5:$A$7,0))</f>
        <v/>
      </c>
      <c r="I26" s="64">
        <f>INDEX('LED types'!$I$5:$I$7,MATCH($B26,'LED types'!$A$5:$A$7,0))</f>
        <v/>
      </c>
      <c r="J26" s="64">
        <f>INDEX('LED types'!$J$5:$J$7,MATCH($B26,'LED types'!$A$5:$A$7,0))</f>
        <v/>
      </c>
      <c r="K26" s="42">
        <f>IF(OR(AND(B26="Hour",C26=Inputs!$B$22),AND(B26="Minute",C26=Inputs!$B$23),AND(B26="Second",C26=Inputs!$B$24)),1,0)</f>
        <v/>
      </c>
      <c r="L26" s="64">
        <f>K26*H26</f>
        <v/>
      </c>
      <c r="M26" s="64">
        <f>K26*I26</f>
        <v/>
      </c>
      <c r="N26" s="47">
        <f>K26*I26*Inputs!$B$25/3600</f>
        <v/>
      </c>
    </row>
    <row r="27">
      <c r="A27" s="2" t="inlineStr">
        <is>
          <t>M10</t>
        </is>
      </c>
      <c r="B27" s="2" t="inlineStr">
        <is>
          <t>Minute</t>
        </is>
      </c>
      <c r="C27" s="42" t="n">
        <v>10</v>
      </c>
      <c r="D27" s="42">
        <f>IF(B27="Hour",MOD(C27,12)*30,C27*6)</f>
        <v/>
      </c>
      <c r="E27" s="42">
        <f>IF(B27="Hour",0,IF(B27="Minute",1+MOD(C27,5),6+MOD(C27,5)))</f>
        <v/>
      </c>
      <c r="F27" s="42">
        <f>IF(B27="Hour",MOD(C27,12),INT(C27/5))</f>
        <v/>
      </c>
      <c r="G27" s="64">
        <f>INDEX('LED types'!$F$5:$F$7,MATCH($B27,'LED types'!$A$5:$A$7,0))</f>
        <v/>
      </c>
      <c r="H27" s="64">
        <f>INDEX('LED types'!$H$5:$H$7,MATCH($B27,'LED types'!$A$5:$A$7,0))</f>
        <v/>
      </c>
      <c r="I27" s="64">
        <f>INDEX('LED types'!$I$5:$I$7,MATCH($B27,'LED types'!$A$5:$A$7,0))</f>
        <v/>
      </c>
      <c r="J27" s="64">
        <f>INDEX('LED types'!$J$5:$J$7,MATCH($B27,'LED types'!$A$5:$A$7,0))</f>
        <v/>
      </c>
      <c r="K27" s="42">
        <f>IF(OR(AND(B27="Hour",C27=Inputs!$B$22),AND(B27="Minute",C27=Inputs!$B$23),AND(B27="Second",C27=Inputs!$B$24)),1,0)</f>
        <v/>
      </c>
      <c r="L27" s="64">
        <f>K27*H27</f>
        <v/>
      </c>
      <c r="M27" s="64">
        <f>K27*I27</f>
        <v/>
      </c>
      <c r="N27" s="47">
        <f>K27*I27*Inputs!$B$25/3600</f>
        <v/>
      </c>
    </row>
    <row r="28">
      <c r="A28" s="2" t="inlineStr">
        <is>
          <t>M11</t>
        </is>
      </c>
      <c r="B28" s="2" t="inlineStr">
        <is>
          <t>Minute</t>
        </is>
      </c>
      <c r="C28" s="42" t="n">
        <v>11</v>
      </c>
      <c r="D28" s="42">
        <f>IF(B28="Hour",MOD(C28,12)*30,C28*6)</f>
        <v/>
      </c>
      <c r="E28" s="42">
        <f>IF(B28="Hour",0,IF(B28="Minute",1+MOD(C28,5),6+MOD(C28,5)))</f>
        <v/>
      </c>
      <c r="F28" s="42">
        <f>IF(B28="Hour",MOD(C28,12),INT(C28/5))</f>
        <v/>
      </c>
      <c r="G28" s="64">
        <f>INDEX('LED types'!$F$5:$F$7,MATCH($B28,'LED types'!$A$5:$A$7,0))</f>
        <v/>
      </c>
      <c r="H28" s="64">
        <f>INDEX('LED types'!$H$5:$H$7,MATCH($B28,'LED types'!$A$5:$A$7,0))</f>
        <v/>
      </c>
      <c r="I28" s="64">
        <f>INDEX('LED types'!$I$5:$I$7,MATCH($B28,'LED types'!$A$5:$A$7,0))</f>
        <v/>
      </c>
      <c r="J28" s="64">
        <f>INDEX('LED types'!$J$5:$J$7,MATCH($B28,'LED types'!$A$5:$A$7,0))</f>
        <v/>
      </c>
      <c r="K28" s="42">
        <f>IF(OR(AND(B28="Hour",C28=Inputs!$B$22),AND(B28="Minute",C28=Inputs!$B$23),AND(B28="Second",C28=Inputs!$B$24)),1,0)</f>
        <v/>
      </c>
      <c r="L28" s="64">
        <f>K28*H28</f>
        <v/>
      </c>
      <c r="M28" s="64">
        <f>K28*I28</f>
        <v/>
      </c>
      <c r="N28" s="47">
        <f>K28*I28*Inputs!$B$25/3600</f>
        <v/>
      </c>
    </row>
    <row r="29">
      <c r="A29" s="2" t="inlineStr">
        <is>
          <t>M12</t>
        </is>
      </c>
      <c r="B29" s="2" t="inlineStr">
        <is>
          <t>Minute</t>
        </is>
      </c>
      <c r="C29" s="42" t="n">
        <v>12</v>
      </c>
      <c r="D29" s="42">
        <f>IF(B29="Hour",MOD(C29,12)*30,C29*6)</f>
        <v/>
      </c>
      <c r="E29" s="42">
        <f>IF(B29="Hour",0,IF(B29="Minute",1+MOD(C29,5),6+MOD(C29,5)))</f>
        <v/>
      </c>
      <c r="F29" s="42">
        <f>IF(B29="Hour",MOD(C29,12),INT(C29/5))</f>
        <v/>
      </c>
      <c r="G29" s="64">
        <f>INDEX('LED types'!$F$5:$F$7,MATCH($B29,'LED types'!$A$5:$A$7,0))</f>
        <v/>
      </c>
      <c r="H29" s="64">
        <f>INDEX('LED types'!$H$5:$H$7,MATCH($B29,'LED types'!$A$5:$A$7,0))</f>
        <v/>
      </c>
      <c r="I29" s="64">
        <f>INDEX('LED types'!$I$5:$I$7,MATCH($B29,'LED types'!$A$5:$A$7,0))</f>
        <v/>
      </c>
      <c r="J29" s="64">
        <f>INDEX('LED types'!$J$5:$J$7,MATCH($B29,'LED types'!$A$5:$A$7,0))</f>
        <v/>
      </c>
      <c r="K29" s="42">
        <f>IF(OR(AND(B29="Hour",C29=Inputs!$B$22),AND(B29="Minute",C29=Inputs!$B$23),AND(B29="Second",C29=Inputs!$B$24)),1,0)</f>
        <v/>
      </c>
      <c r="L29" s="64">
        <f>K29*H29</f>
        <v/>
      </c>
      <c r="M29" s="64">
        <f>K29*I29</f>
        <v/>
      </c>
      <c r="N29" s="47">
        <f>K29*I29*Inputs!$B$25/3600</f>
        <v/>
      </c>
    </row>
    <row r="30">
      <c r="A30" s="2" t="inlineStr">
        <is>
          <t>M13</t>
        </is>
      </c>
      <c r="B30" s="2" t="inlineStr">
        <is>
          <t>Minute</t>
        </is>
      </c>
      <c r="C30" s="42" t="n">
        <v>13</v>
      </c>
      <c r="D30" s="42">
        <f>IF(B30="Hour",MOD(C30,12)*30,C30*6)</f>
        <v/>
      </c>
      <c r="E30" s="42">
        <f>IF(B30="Hour",0,IF(B30="Minute",1+MOD(C30,5),6+MOD(C30,5)))</f>
        <v/>
      </c>
      <c r="F30" s="42">
        <f>IF(B30="Hour",MOD(C30,12),INT(C30/5))</f>
        <v/>
      </c>
      <c r="G30" s="64">
        <f>INDEX('LED types'!$F$5:$F$7,MATCH($B30,'LED types'!$A$5:$A$7,0))</f>
        <v/>
      </c>
      <c r="H30" s="64">
        <f>INDEX('LED types'!$H$5:$H$7,MATCH($B30,'LED types'!$A$5:$A$7,0))</f>
        <v/>
      </c>
      <c r="I30" s="64">
        <f>INDEX('LED types'!$I$5:$I$7,MATCH($B30,'LED types'!$A$5:$A$7,0))</f>
        <v/>
      </c>
      <c r="J30" s="64">
        <f>INDEX('LED types'!$J$5:$J$7,MATCH($B30,'LED types'!$A$5:$A$7,0))</f>
        <v/>
      </c>
      <c r="K30" s="42">
        <f>IF(OR(AND(B30="Hour",C30=Inputs!$B$22),AND(B30="Minute",C30=Inputs!$B$23),AND(B30="Second",C30=Inputs!$B$24)),1,0)</f>
        <v/>
      </c>
      <c r="L30" s="64">
        <f>K30*H30</f>
        <v/>
      </c>
      <c r="M30" s="64">
        <f>K30*I30</f>
        <v/>
      </c>
      <c r="N30" s="47">
        <f>K30*I30*Inputs!$B$25/3600</f>
        <v/>
      </c>
    </row>
    <row r="31">
      <c r="A31" s="2" t="inlineStr">
        <is>
          <t>M14</t>
        </is>
      </c>
      <c r="B31" s="2" t="inlineStr">
        <is>
          <t>Minute</t>
        </is>
      </c>
      <c r="C31" s="42" t="n">
        <v>14</v>
      </c>
      <c r="D31" s="42">
        <f>IF(B31="Hour",MOD(C31,12)*30,C31*6)</f>
        <v/>
      </c>
      <c r="E31" s="42">
        <f>IF(B31="Hour",0,IF(B31="Minute",1+MOD(C31,5),6+MOD(C31,5)))</f>
        <v/>
      </c>
      <c r="F31" s="42">
        <f>IF(B31="Hour",MOD(C31,12),INT(C31/5))</f>
        <v/>
      </c>
      <c r="G31" s="64">
        <f>INDEX('LED types'!$F$5:$F$7,MATCH($B31,'LED types'!$A$5:$A$7,0))</f>
        <v/>
      </c>
      <c r="H31" s="64">
        <f>INDEX('LED types'!$H$5:$H$7,MATCH($B31,'LED types'!$A$5:$A$7,0))</f>
        <v/>
      </c>
      <c r="I31" s="64">
        <f>INDEX('LED types'!$I$5:$I$7,MATCH($B31,'LED types'!$A$5:$A$7,0))</f>
        <v/>
      </c>
      <c r="J31" s="64">
        <f>INDEX('LED types'!$J$5:$J$7,MATCH($B31,'LED types'!$A$5:$A$7,0))</f>
        <v/>
      </c>
      <c r="K31" s="42">
        <f>IF(OR(AND(B31="Hour",C31=Inputs!$B$22),AND(B31="Minute",C31=Inputs!$B$23),AND(B31="Second",C31=Inputs!$B$24)),1,0)</f>
        <v/>
      </c>
      <c r="L31" s="64">
        <f>K31*H31</f>
        <v/>
      </c>
      <c r="M31" s="64">
        <f>K31*I31</f>
        <v/>
      </c>
      <c r="N31" s="47">
        <f>K31*I31*Inputs!$B$25/3600</f>
        <v/>
      </c>
    </row>
    <row r="32">
      <c r="A32" s="2" t="inlineStr">
        <is>
          <t>M15</t>
        </is>
      </c>
      <c r="B32" s="2" t="inlineStr">
        <is>
          <t>Minute</t>
        </is>
      </c>
      <c r="C32" s="42" t="n">
        <v>15</v>
      </c>
      <c r="D32" s="42">
        <f>IF(B32="Hour",MOD(C32,12)*30,C32*6)</f>
        <v/>
      </c>
      <c r="E32" s="42">
        <f>IF(B32="Hour",0,IF(B32="Minute",1+MOD(C32,5),6+MOD(C32,5)))</f>
        <v/>
      </c>
      <c r="F32" s="42">
        <f>IF(B32="Hour",MOD(C32,12),INT(C32/5))</f>
        <v/>
      </c>
      <c r="G32" s="64">
        <f>INDEX('LED types'!$F$5:$F$7,MATCH($B32,'LED types'!$A$5:$A$7,0))</f>
        <v/>
      </c>
      <c r="H32" s="64">
        <f>INDEX('LED types'!$H$5:$H$7,MATCH($B32,'LED types'!$A$5:$A$7,0))</f>
        <v/>
      </c>
      <c r="I32" s="64">
        <f>INDEX('LED types'!$I$5:$I$7,MATCH($B32,'LED types'!$A$5:$A$7,0))</f>
        <v/>
      </c>
      <c r="J32" s="64">
        <f>INDEX('LED types'!$J$5:$J$7,MATCH($B32,'LED types'!$A$5:$A$7,0))</f>
        <v/>
      </c>
      <c r="K32" s="42">
        <f>IF(OR(AND(B32="Hour",C32=Inputs!$B$22),AND(B32="Minute",C32=Inputs!$B$23),AND(B32="Second",C32=Inputs!$B$24)),1,0)</f>
        <v/>
      </c>
      <c r="L32" s="64">
        <f>K32*H32</f>
        <v/>
      </c>
      <c r="M32" s="64">
        <f>K32*I32</f>
        <v/>
      </c>
      <c r="N32" s="47">
        <f>K32*I32*Inputs!$B$25/3600</f>
        <v/>
      </c>
    </row>
    <row r="33">
      <c r="A33" s="2" t="inlineStr">
        <is>
          <t>M16</t>
        </is>
      </c>
      <c r="B33" s="2" t="inlineStr">
        <is>
          <t>Minute</t>
        </is>
      </c>
      <c r="C33" s="42" t="n">
        <v>16</v>
      </c>
      <c r="D33" s="42">
        <f>IF(B33="Hour",MOD(C33,12)*30,C33*6)</f>
        <v/>
      </c>
      <c r="E33" s="42">
        <f>IF(B33="Hour",0,IF(B33="Minute",1+MOD(C33,5),6+MOD(C33,5)))</f>
        <v/>
      </c>
      <c r="F33" s="42">
        <f>IF(B33="Hour",MOD(C33,12),INT(C33/5))</f>
        <v/>
      </c>
      <c r="G33" s="64">
        <f>INDEX('LED types'!$F$5:$F$7,MATCH($B33,'LED types'!$A$5:$A$7,0))</f>
        <v/>
      </c>
      <c r="H33" s="64">
        <f>INDEX('LED types'!$H$5:$H$7,MATCH($B33,'LED types'!$A$5:$A$7,0))</f>
        <v/>
      </c>
      <c r="I33" s="64">
        <f>INDEX('LED types'!$I$5:$I$7,MATCH($B33,'LED types'!$A$5:$A$7,0))</f>
        <v/>
      </c>
      <c r="J33" s="64">
        <f>INDEX('LED types'!$J$5:$J$7,MATCH($B33,'LED types'!$A$5:$A$7,0))</f>
        <v/>
      </c>
      <c r="K33" s="42">
        <f>IF(OR(AND(B33="Hour",C33=Inputs!$B$22),AND(B33="Minute",C33=Inputs!$B$23),AND(B33="Second",C33=Inputs!$B$24)),1,0)</f>
        <v/>
      </c>
      <c r="L33" s="64">
        <f>K33*H33</f>
        <v/>
      </c>
      <c r="M33" s="64">
        <f>K33*I33</f>
        <v/>
      </c>
      <c r="N33" s="47">
        <f>K33*I33*Inputs!$B$25/3600</f>
        <v/>
      </c>
    </row>
    <row r="34">
      <c r="A34" s="2" t="inlineStr">
        <is>
          <t>M17</t>
        </is>
      </c>
      <c r="B34" s="2" t="inlineStr">
        <is>
          <t>Minute</t>
        </is>
      </c>
      <c r="C34" s="42" t="n">
        <v>17</v>
      </c>
      <c r="D34" s="42">
        <f>IF(B34="Hour",MOD(C34,12)*30,C34*6)</f>
        <v/>
      </c>
      <c r="E34" s="42">
        <f>IF(B34="Hour",0,IF(B34="Minute",1+MOD(C34,5),6+MOD(C34,5)))</f>
        <v/>
      </c>
      <c r="F34" s="42">
        <f>IF(B34="Hour",MOD(C34,12),INT(C34/5))</f>
        <v/>
      </c>
      <c r="G34" s="64">
        <f>INDEX('LED types'!$F$5:$F$7,MATCH($B34,'LED types'!$A$5:$A$7,0))</f>
        <v/>
      </c>
      <c r="H34" s="64">
        <f>INDEX('LED types'!$H$5:$H$7,MATCH($B34,'LED types'!$A$5:$A$7,0))</f>
        <v/>
      </c>
      <c r="I34" s="64">
        <f>INDEX('LED types'!$I$5:$I$7,MATCH($B34,'LED types'!$A$5:$A$7,0))</f>
        <v/>
      </c>
      <c r="J34" s="64">
        <f>INDEX('LED types'!$J$5:$J$7,MATCH($B34,'LED types'!$A$5:$A$7,0))</f>
        <v/>
      </c>
      <c r="K34" s="42">
        <f>IF(OR(AND(B34="Hour",C34=Inputs!$B$22),AND(B34="Minute",C34=Inputs!$B$23),AND(B34="Second",C34=Inputs!$B$24)),1,0)</f>
        <v/>
      </c>
      <c r="L34" s="64">
        <f>K34*H34</f>
        <v/>
      </c>
      <c r="M34" s="64">
        <f>K34*I34</f>
        <v/>
      </c>
      <c r="N34" s="47">
        <f>K34*I34*Inputs!$B$25/3600</f>
        <v/>
      </c>
    </row>
    <row r="35">
      <c r="A35" s="2" t="inlineStr">
        <is>
          <t>M18</t>
        </is>
      </c>
      <c r="B35" s="2" t="inlineStr">
        <is>
          <t>Minute</t>
        </is>
      </c>
      <c r="C35" s="42" t="n">
        <v>18</v>
      </c>
      <c r="D35" s="42">
        <f>IF(B35="Hour",MOD(C35,12)*30,C35*6)</f>
        <v/>
      </c>
      <c r="E35" s="42">
        <f>IF(B35="Hour",0,IF(B35="Minute",1+MOD(C35,5),6+MOD(C35,5)))</f>
        <v/>
      </c>
      <c r="F35" s="42">
        <f>IF(B35="Hour",MOD(C35,12),INT(C35/5))</f>
        <v/>
      </c>
      <c r="G35" s="64">
        <f>INDEX('LED types'!$F$5:$F$7,MATCH($B35,'LED types'!$A$5:$A$7,0))</f>
        <v/>
      </c>
      <c r="H35" s="64">
        <f>INDEX('LED types'!$H$5:$H$7,MATCH($B35,'LED types'!$A$5:$A$7,0))</f>
        <v/>
      </c>
      <c r="I35" s="64">
        <f>INDEX('LED types'!$I$5:$I$7,MATCH($B35,'LED types'!$A$5:$A$7,0))</f>
        <v/>
      </c>
      <c r="J35" s="64">
        <f>INDEX('LED types'!$J$5:$J$7,MATCH($B35,'LED types'!$A$5:$A$7,0))</f>
        <v/>
      </c>
      <c r="K35" s="42">
        <f>IF(OR(AND(B35="Hour",C35=Inputs!$B$22),AND(B35="Minute",C35=Inputs!$B$23),AND(B35="Second",C35=Inputs!$B$24)),1,0)</f>
        <v/>
      </c>
      <c r="L35" s="64">
        <f>K35*H35</f>
        <v/>
      </c>
      <c r="M35" s="64">
        <f>K35*I35</f>
        <v/>
      </c>
      <c r="N35" s="47">
        <f>K35*I35*Inputs!$B$25/3600</f>
        <v/>
      </c>
    </row>
    <row r="36">
      <c r="A36" s="2" t="inlineStr">
        <is>
          <t>M19</t>
        </is>
      </c>
      <c r="B36" s="2" t="inlineStr">
        <is>
          <t>Minute</t>
        </is>
      </c>
      <c r="C36" s="42" t="n">
        <v>19</v>
      </c>
      <c r="D36" s="42">
        <f>IF(B36="Hour",MOD(C36,12)*30,C36*6)</f>
        <v/>
      </c>
      <c r="E36" s="42">
        <f>IF(B36="Hour",0,IF(B36="Minute",1+MOD(C36,5),6+MOD(C36,5)))</f>
        <v/>
      </c>
      <c r="F36" s="42">
        <f>IF(B36="Hour",MOD(C36,12),INT(C36/5))</f>
        <v/>
      </c>
      <c r="G36" s="64">
        <f>INDEX('LED types'!$F$5:$F$7,MATCH($B36,'LED types'!$A$5:$A$7,0))</f>
        <v/>
      </c>
      <c r="H36" s="64">
        <f>INDEX('LED types'!$H$5:$H$7,MATCH($B36,'LED types'!$A$5:$A$7,0))</f>
        <v/>
      </c>
      <c r="I36" s="64">
        <f>INDEX('LED types'!$I$5:$I$7,MATCH($B36,'LED types'!$A$5:$A$7,0))</f>
        <v/>
      </c>
      <c r="J36" s="64">
        <f>INDEX('LED types'!$J$5:$J$7,MATCH($B36,'LED types'!$A$5:$A$7,0))</f>
        <v/>
      </c>
      <c r="K36" s="42">
        <f>IF(OR(AND(B36="Hour",C36=Inputs!$B$22),AND(B36="Minute",C36=Inputs!$B$23),AND(B36="Second",C36=Inputs!$B$24)),1,0)</f>
        <v/>
      </c>
      <c r="L36" s="64">
        <f>K36*H36</f>
        <v/>
      </c>
      <c r="M36" s="64">
        <f>K36*I36</f>
        <v/>
      </c>
      <c r="N36" s="47">
        <f>K36*I36*Inputs!$B$25/3600</f>
        <v/>
      </c>
    </row>
    <row r="37">
      <c r="A37" s="2" t="inlineStr">
        <is>
          <t>M20</t>
        </is>
      </c>
      <c r="B37" s="2" t="inlineStr">
        <is>
          <t>Minute</t>
        </is>
      </c>
      <c r="C37" s="42" t="n">
        <v>20</v>
      </c>
      <c r="D37" s="42">
        <f>IF(B37="Hour",MOD(C37,12)*30,C37*6)</f>
        <v/>
      </c>
      <c r="E37" s="42">
        <f>IF(B37="Hour",0,IF(B37="Minute",1+MOD(C37,5),6+MOD(C37,5)))</f>
        <v/>
      </c>
      <c r="F37" s="42">
        <f>IF(B37="Hour",MOD(C37,12),INT(C37/5))</f>
        <v/>
      </c>
      <c r="G37" s="64">
        <f>INDEX('LED types'!$F$5:$F$7,MATCH($B37,'LED types'!$A$5:$A$7,0))</f>
        <v/>
      </c>
      <c r="H37" s="64">
        <f>INDEX('LED types'!$H$5:$H$7,MATCH($B37,'LED types'!$A$5:$A$7,0))</f>
        <v/>
      </c>
      <c r="I37" s="64">
        <f>INDEX('LED types'!$I$5:$I$7,MATCH($B37,'LED types'!$A$5:$A$7,0))</f>
        <v/>
      </c>
      <c r="J37" s="64">
        <f>INDEX('LED types'!$J$5:$J$7,MATCH($B37,'LED types'!$A$5:$A$7,0))</f>
        <v/>
      </c>
      <c r="K37" s="42">
        <f>IF(OR(AND(B37="Hour",C37=Inputs!$B$22),AND(B37="Minute",C37=Inputs!$B$23),AND(B37="Second",C37=Inputs!$B$24)),1,0)</f>
        <v/>
      </c>
      <c r="L37" s="64">
        <f>K37*H37</f>
        <v/>
      </c>
      <c r="M37" s="64">
        <f>K37*I37</f>
        <v/>
      </c>
      <c r="N37" s="47">
        <f>K37*I37*Inputs!$B$25/3600</f>
        <v/>
      </c>
    </row>
    <row r="38">
      <c r="A38" s="2" t="inlineStr">
        <is>
          <t>M21</t>
        </is>
      </c>
      <c r="B38" s="2" t="inlineStr">
        <is>
          <t>Minute</t>
        </is>
      </c>
      <c r="C38" s="42" t="n">
        <v>21</v>
      </c>
      <c r="D38" s="42">
        <f>IF(B38="Hour",MOD(C38,12)*30,C38*6)</f>
        <v/>
      </c>
      <c r="E38" s="42">
        <f>IF(B38="Hour",0,IF(B38="Minute",1+MOD(C38,5),6+MOD(C38,5)))</f>
        <v/>
      </c>
      <c r="F38" s="42">
        <f>IF(B38="Hour",MOD(C38,12),INT(C38/5))</f>
        <v/>
      </c>
      <c r="G38" s="64">
        <f>INDEX('LED types'!$F$5:$F$7,MATCH($B38,'LED types'!$A$5:$A$7,0))</f>
        <v/>
      </c>
      <c r="H38" s="64">
        <f>INDEX('LED types'!$H$5:$H$7,MATCH($B38,'LED types'!$A$5:$A$7,0))</f>
        <v/>
      </c>
      <c r="I38" s="64">
        <f>INDEX('LED types'!$I$5:$I$7,MATCH($B38,'LED types'!$A$5:$A$7,0))</f>
        <v/>
      </c>
      <c r="J38" s="64">
        <f>INDEX('LED types'!$J$5:$J$7,MATCH($B38,'LED types'!$A$5:$A$7,0))</f>
        <v/>
      </c>
      <c r="K38" s="42">
        <f>IF(OR(AND(B38="Hour",C38=Inputs!$B$22),AND(B38="Minute",C38=Inputs!$B$23),AND(B38="Second",C38=Inputs!$B$24)),1,0)</f>
        <v/>
      </c>
      <c r="L38" s="64">
        <f>K38*H38</f>
        <v/>
      </c>
      <c r="M38" s="64">
        <f>K38*I38</f>
        <v/>
      </c>
      <c r="N38" s="47">
        <f>K38*I38*Inputs!$B$25/3600</f>
        <v/>
      </c>
    </row>
    <row r="39">
      <c r="A39" s="2" t="inlineStr">
        <is>
          <t>M22</t>
        </is>
      </c>
      <c r="B39" s="2" t="inlineStr">
        <is>
          <t>Minute</t>
        </is>
      </c>
      <c r="C39" s="42" t="n">
        <v>22</v>
      </c>
      <c r="D39" s="42">
        <f>IF(B39="Hour",MOD(C39,12)*30,C39*6)</f>
        <v/>
      </c>
      <c r="E39" s="42">
        <f>IF(B39="Hour",0,IF(B39="Minute",1+MOD(C39,5),6+MOD(C39,5)))</f>
        <v/>
      </c>
      <c r="F39" s="42">
        <f>IF(B39="Hour",MOD(C39,12),INT(C39/5))</f>
        <v/>
      </c>
      <c r="G39" s="64">
        <f>INDEX('LED types'!$F$5:$F$7,MATCH($B39,'LED types'!$A$5:$A$7,0))</f>
        <v/>
      </c>
      <c r="H39" s="64">
        <f>INDEX('LED types'!$H$5:$H$7,MATCH($B39,'LED types'!$A$5:$A$7,0))</f>
        <v/>
      </c>
      <c r="I39" s="64">
        <f>INDEX('LED types'!$I$5:$I$7,MATCH($B39,'LED types'!$A$5:$A$7,0))</f>
        <v/>
      </c>
      <c r="J39" s="64">
        <f>INDEX('LED types'!$J$5:$J$7,MATCH($B39,'LED types'!$A$5:$A$7,0))</f>
        <v/>
      </c>
      <c r="K39" s="42">
        <f>IF(OR(AND(B39="Hour",C39=Inputs!$B$22),AND(B39="Minute",C39=Inputs!$B$23),AND(B39="Second",C39=Inputs!$B$24)),1,0)</f>
        <v/>
      </c>
      <c r="L39" s="64">
        <f>K39*H39</f>
        <v/>
      </c>
      <c r="M39" s="64">
        <f>K39*I39</f>
        <v/>
      </c>
      <c r="N39" s="47">
        <f>K39*I39*Inputs!$B$25/3600</f>
        <v/>
      </c>
    </row>
    <row r="40">
      <c r="A40" s="2" t="inlineStr">
        <is>
          <t>M23</t>
        </is>
      </c>
      <c r="B40" s="2" t="inlineStr">
        <is>
          <t>Minute</t>
        </is>
      </c>
      <c r="C40" s="42" t="n">
        <v>23</v>
      </c>
      <c r="D40" s="42">
        <f>IF(B40="Hour",MOD(C40,12)*30,C40*6)</f>
        <v/>
      </c>
      <c r="E40" s="42">
        <f>IF(B40="Hour",0,IF(B40="Minute",1+MOD(C40,5),6+MOD(C40,5)))</f>
        <v/>
      </c>
      <c r="F40" s="42">
        <f>IF(B40="Hour",MOD(C40,12),INT(C40/5))</f>
        <v/>
      </c>
      <c r="G40" s="64">
        <f>INDEX('LED types'!$F$5:$F$7,MATCH($B40,'LED types'!$A$5:$A$7,0))</f>
        <v/>
      </c>
      <c r="H40" s="64">
        <f>INDEX('LED types'!$H$5:$H$7,MATCH($B40,'LED types'!$A$5:$A$7,0))</f>
        <v/>
      </c>
      <c r="I40" s="64">
        <f>INDEX('LED types'!$I$5:$I$7,MATCH($B40,'LED types'!$A$5:$A$7,0))</f>
        <v/>
      </c>
      <c r="J40" s="64">
        <f>INDEX('LED types'!$J$5:$J$7,MATCH($B40,'LED types'!$A$5:$A$7,0))</f>
        <v/>
      </c>
      <c r="K40" s="42">
        <f>IF(OR(AND(B40="Hour",C40=Inputs!$B$22),AND(B40="Minute",C40=Inputs!$B$23),AND(B40="Second",C40=Inputs!$B$24)),1,0)</f>
        <v/>
      </c>
      <c r="L40" s="64">
        <f>K40*H40</f>
        <v/>
      </c>
      <c r="M40" s="64">
        <f>K40*I40</f>
        <v/>
      </c>
      <c r="N40" s="47">
        <f>K40*I40*Inputs!$B$25/3600</f>
        <v/>
      </c>
    </row>
    <row r="41">
      <c r="A41" s="2" t="inlineStr">
        <is>
          <t>M24</t>
        </is>
      </c>
      <c r="B41" s="2" t="inlineStr">
        <is>
          <t>Minute</t>
        </is>
      </c>
      <c r="C41" s="42" t="n">
        <v>24</v>
      </c>
      <c r="D41" s="42">
        <f>IF(B41="Hour",MOD(C41,12)*30,C41*6)</f>
        <v/>
      </c>
      <c r="E41" s="42">
        <f>IF(B41="Hour",0,IF(B41="Minute",1+MOD(C41,5),6+MOD(C41,5)))</f>
        <v/>
      </c>
      <c r="F41" s="42">
        <f>IF(B41="Hour",MOD(C41,12),INT(C41/5))</f>
        <v/>
      </c>
      <c r="G41" s="64">
        <f>INDEX('LED types'!$F$5:$F$7,MATCH($B41,'LED types'!$A$5:$A$7,0))</f>
        <v/>
      </c>
      <c r="H41" s="64">
        <f>INDEX('LED types'!$H$5:$H$7,MATCH($B41,'LED types'!$A$5:$A$7,0))</f>
        <v/>
      </c>
      <c r="I41" s="64">
        <f>INDEX('LED types'!$I$5:$I$7,MATCH($B41,'LED types'!$A$5:$A$7,0))</f>
        <v/>
      </c>
      <c r="J41" s="64">
        <f>INDEX('LED types'!$J$5:$J$7,MATCH($B41,'LED types'!$A$5:$A$7,0))</f>
        <v/>
      </c>
      <c r="K41" s="42">
        <f>IF(OR(AND(B41="Hour",C41=Inputs!$B$22),AND(B41="Minute",C41=Inputs!$B$23),AND(B41="Second",C41=Inputs!$B$24)),1,0)</f>
        <v/>
      </c>
      <c r="L41" s="64">
        <f>K41*H41</f>
        <v/>
      </c>
      <c r="M41" s="64">
        <f>K41*I41</f>
        <v/>
      </c>
      <c r="N41" s="47">
        <f>K41*I41*Inputs!$B$25/3600</f>
        <v/>
      </c>
    </row>
    <row r="42">
      <c r="A42" s="2" t="inlineStr">
        <is>
          <t>M25</t>
        </is>
      </c>
      <c r="B42" s="2" t="inlineStr">
        <is>
          <t>Minute</t>
        </is>
      </c>
      <c r="C42" s="42" t="n">
        <v>25</v>
      </c>
      <c r="D42" s="42">
        <f>IF(B42="Hour",MOD(C42,12)*30,C42*6)</f>
        <v/>
      </c>
      <c r="E42" s="42">
        <f>IF(B42="Hour",0,IF(B42="Minute",1+MOD(C42,5),6+MOD(C42,5)))</f>
        <v/>
      </c>
      <c r="F42" s="42">
        <f>IF(B42="Hour",MOD(C42,12),INT(C42/5))</f>
        <v/>
      </c>
      <c r="G42" s="64">
        <f>INDEX('LED types'!$F$5:$F$7,MATCH($B42,'LED types'!$A$5:$A$7,0))</f>
        <v/>
      </c>
      <c r="H42" s="64">
        <f>INDEX('LED types'!$H$5:$H$7,MATCH($B42,'LED types'!$A$5:$A$7,0))</f>
        <v/>
      </c>
      <c r="I42" s="64">
        <f>INDEX('LED types'!$I$5:$I$7,MATCH($B42,'LED types'!$A$5:$A$7,0))</f>
        <v/>
      </c>
      <c r="J42" s="64">
        <f>INDEX('LED types'!$J$5:$J$7,MATCH($B42,'LED types'!$A$5:$A$7,0))</f>
        <v/>
      </c>
      <c r="K42" s="42">
        <f>IF(OR(AND(B42="Hour",C42=Inputs!$B$22),AND(B42="Minute",C42=Inputs!$B$23),AND(B42="Second",C42=Inputs!$B$24)),1,0)</f>
        <v/>
      </c>
      <c r="L42" s="64">
        <f>K42*H42</f>
        <v/>
      </c>
      <c r="M42" s="64">
        <f>K42*I42</f>
        <v/>
      </c>
      <c r="N42" s="47">
        <f>K42*I42*Inputs!$B$25/3600</f>
        <v/>
      </c>
    </row>
    <row r="43">
      <c r="A43" s="2" t="inlineStr">
        <is>
          <t>M26</t>
        </is>
      </c>
      <c r="B43" s="2" t="inlineStr">
        <is>
          <t>Minute</t>
        </is>
      </c>
      <c r="C43" s="42" t="n">
        <v>26</v>
      </c>
      <c r="D43" s="42">
        <f>IF(B43="Hour",MOD(C43,12)*30,C43*6)</f>
        <v/>
      </c>
      <c r="E43" s="42">
        <f>IF(B43="Hour",0,IF(B43="Minute",1+MOD(C43,5),6+MOD(C43,5)))</f>
        <v/>
      </c>
      <c r="F43" s="42">
        <f>IF(B43="Hour",MOD(C43,12),INT(C43/5))</f>
        <v/>
      </c>
      <c r="G43" s="64">
        <f>INDEX('LED types'!$F$5:$F$7,MATCH($B43,'LED types'!$A$5:$A$7,0))</f>
        <v/>
      </c>
      <c r="H43" s="64">
        <f>INDEX('LED types'!$H$5:$H$7,MATCH($B43,'LED types'!$A$5:$A$7,0))</f>
        <v/>
      </c>
      <c r="I43" s="64">
        <f>INDEX('LED types'!$I$5:$I$7,MATCH($B43,'LED types'!$A$5:$A$7,0))</f>
        <v/>
      </c>
      <c r="J43" s="64">
        <f>INDEX('LED types'!$J$5:$J$7,MATCH($B43,'LED types'!$A$5:$A$7,0))</f>
        <v/>
      </c>
      <c r="K43" s="42">
        <f>IF(OR(AND(B43="Hour",C43=Inputs!$B$22),AND(B43="Minute",C43=Inputs!$B$23),AND(B43="Second",C43=Inputs!$B$24)),1,0)</f>
        <v/>
      </c>
      <c r="L43" s="64">
        <f>K43*H43</f>
        <v/>
      </c>
      <c r="M43" s="64">
        <f>K43*I43</f>
        <v/>
      </c>
      <c r="N43" s="47">
        <f>K43*I43*Inputs!$B$25/3600</f>
        <v/>
      </c>
    </row>
    <row r="44">
      <c r="A44" s="2" t="inlineStr">
        <is>
          <t>M27</t>
        </is>
      </c>
      <c r="B44" s="2" t="inlineStr">
        <is>
          <t>Minute</t>
        </is>
      </c>
      <c r="C44" s="42" t="n">
        <v>27</v>
      </c>
      <c r="D44" s="42">
        <f>IF(B44="Hour",MOD(C44,12)*30,C44*6)</f>
        <v/>
      </c>
      <c r="E44" s="42">
        <f>IF(B44="Hour",0,IF(B44="Minute",1+MOD(C44,5),6+MOD(C44,5)))</f>
        <v/>
      </c>
      <c r="F44" s="42">
        <f>IF(B44="Hour",MOD(C44,12),INT(C44/5))</f>
        <v/>
      </c>
      <c r="G44" s="64">
        <f>INDEX('LED types'!$F$5:$F$7,MATCH($B44,'LED types'!$A$5:$A$7,0))</f>
        <v/>
      </c>
      <c r="H44" s="64">
        <f>INDEX('LED types'!$H$5:$H$7,MATCH($B44,'LED types'!$A$5:$A$7,0))</f>
        <v/>
      </c>
      <c r="I44" s="64">
        <f>INDEX('LED types'!$I$5:$I$7,MATCH($B44,'LED types'!$A$5:$A$7,0))</f>
        <v/>
      </c>
      <c r="J44" s="64">
        <f>INDEX('LED types'!$J$5:$J$7,MATCH($B44,'LED types'!$A$5:$A$7,0))</f>
        <v/>
      </c>
      <c r="K44" s="42">
        <f>IF(OR(AND(B44="Hour",C44=Inputs!$B$22),AND(B44="Minute",C44=Inputs!$B$23),AND(B44="Second",C44=Inputs!$B$24)),1,0)</f>
        <v/>
      </c>
      <c r="L44" s="64">
        <f>K44*H44</f>
        <v/>
      </c>
      <c r="M44" s="64">
        <f>K44*I44</f>
        <v/>
      </c>
      <c r="N44" s="47">
        <f>K44*I44*Inputs!$B$25/3600</f>
        <v/>
      </c>
    </row>
    <row r="45">
      <c r="A45" s="2" t="inlineStr">
        <is>
          <t>M28</t>
        </is>
      </c>
      <c r="B45" s="2" t="inlineStr">
        <is>
          <t>Minute</t>
        </is>
      </c>
      <c r="C45" s="42" t="n">
        <v>28</v>
      </c>
      <c r="D45" s="42">
        <f>IF(B45="Hour",MOD(C45,12)*30,C45*6)</f>
        <v/>
      </c>
      <c r="E45" s="42">
        <f>IF(B45="Hour",0,IF(B45="Minute",1+MOD(C45,5),6+MOD(C45,5)))</f>
        <v/>
      </c>
      <c r="F45" s="42">
        <f>IF(B45="Hour",MOD(C45,12),INT(C45/5))</f>
        <v/>
      </c>
      <c r="G45" s="64">
        <f>INDEX('LED types'!$F$5:$F$7,MATCH($B45,'LED types'!$A$5:$A$7,0))</f>
        <v/>
      </c>
      <c r="H45" s="64">
        <f>INDEX('LED types'!$H$5:$H$7,MATCH($B45,'LED types'!$A$5:$A$7,0))</f>
        <v/>
      </c>
      <c r="I45" s="64">
        <f>INDEX('LED types'!$I$5:$I$7,MATCH($B45,'LED types'!$A$5:$A$7,0))</f>
        <v/>
      </c>
      <c r="J45" s="64">
        <f>INDEX('LED types'!$J$5:$J$7,MATCH($B45,'LED types'!$A$5:$A$7,0))</f>
        <v/>
      </c>
      <c r="K45" s="42">
        <f>IF(OR(AND(B45="Hour",C45=Inputs!$B$22),AND(B45="Minute",C45=Inputs!$B$23),AND(B45="Second",C45=Inputs!$B$24)),1,0)</f>
        <v/>
      </c>
      <c r="L45" s="64">
        <f>K45*H45</f>
        <v/>
      </c>
      <c r="M45" s="64">
        <f>K45*I45</f>
        <v/>
      </c>
      <c r="N45" s="47">
        <f>K45*I45*Inputs!$B$25/3600</f>
        <v/>
      </c>
    </row>
    <row r="46">
      <c r="A46" s="2" t="inlineStr">
        <is>
          <t>M29</t>
        </is>
      </c>
      <c r="B46" s="2" t="inlineStr">
        <is>
          <t>Minute</t>
        </is>
      </c>
      <c r="C46" s="42" t="n">
        <v>29</v>
      </c>
      <c r="D46" s="42">
        <f>IF(B46="Hour",MOD(C46,12)*30,C46*6)</f>
        <v/>
      </c>
      <c r="E46" s="42">
        <f>IF(B46="Hour",0,IF(B46="Minute",1+MOD(C46,5),6+MOD(C46,5)))</f>
        <v/>
      </c>
      <c r="F46" s="42">
        <f>IF(B46="Hour",MOD(C46,12),INT(C46/5))</f>
        <v/>
      </c>
      <c r="G46" s="64">
        <f>INDEX('LED types'!$F$5:$F$7,MATCH($B46,'LED types'!$A$5:$A$7,0))</f>
        <v/>
      </c>
      <c r="H46" s="64">
        <f>INDEX('LED types'!$H$5:$H$7,MATCH($B46,'LED types'!$A$5:$A$7,0))</f>
        <v/>
      </c>
      <c r="I46" s="64">
        <f>INDEX('LED types'!$I$5:$I$7,MATCH($B46,'LED types'!$A$5:$A$7,0))</f>
        <v/>
      </c>
      <c r="J46" s="64">
        <f>INDEX('LED types'!$J$5:$J$7,MATCH($B46,'LED types'!$A$5:$A$7,0))</f>
        <v/>
      </c>
      <c r="K46" s="42">
        <f>IF(OR(AND(B46="Hour",C46=Inputs!$B$22),AND(B46="Minute",C46=Inputs!$B$23),AND(B46="Second",C46=Inputs!$B$24)),1,0)</f>
        <v/>
      </c>
      <c r="L46" s="64">
        <f>K46*H46</f>
        <v/>
      </c>
      <c r="M46" s="64">
        <f>K46*I46</f>
        <v/>
      </c>
      <c r="N46" s="47">
        <f>K46*I46*Inputs!$B$25/3600</f>
        <v/>
      </c>
    </row>
    <row r="47">
      <c r="A47" s="2" t="inlineStr">
        <is>
          <t>M30</t>
        </is>
      </c>
      <c r="B47" s="2" t="inlineStr">
        <is>
          <t>Minute</t>
        </is>
      </c>
      <c r="C47" s="42" t="n">
        <v>30</v>
      </c>
      <c r="D47" s="42">
        <f>IF(B47="Hour",MOD(C47,12)*30,C47*6)</f>
        <v/>
      </c>
      <c r="E47" s="42">
        <f>IF(B47="Hour",0,IF(B47="Minute",1+MOD(C47,5),6+MOD(C47,5)))</f>
        <v/>
      </c>
      <c r="F47" s="42">
        <f>IF(B47="Hour",MOD(C47,12),INT(C47/5))</f>
        <v/>
      </c>
      <c r="G47" s="64">
        <f>INDEX('LED types'!$F$5:$F$7,MATCH($B47,'LED types'!$A$5:$A$7,0))</f>
        <v/>
      </c>
      <c r="H47" s="64">
        <f>INDEX('LED types'!$H$5:$H$7,MATCH($B47,'LED types'!$A$5:$A$7,0))</f>
        <v/>
      </c>
      <c r="I47" s="64">
        <f>INDEX('LED types'!$I$5:$I$7,MATCH($B47,'LED types'!$A$5:$A$7,0))</f>
        <v/>
      </c>
      <c r="J47" s="64">
        <f>INDEX('LED types'!$J$5:$J$7,MATCH($B47,'LED types'!$A$5:$A$7,0))</f>
        <v/>
      </c>
      <c r="K47" s="42">
        <f>IF(OR(AND(B47="Hour",C47=Inputs!$B$22),AND(B47="Minute",C47=Inputs!$B$23),AND(B47="Second",C47=Inputs!$B$24)),1,0)</f>
        <v/>
      </c>
      <c r="L47" s="64">
        <f>K47*H47</f>
        <v/>
      </c>
      <c r="M47" s="64">
        <f>K47*I47</f>
        <v/>
      </c>
      <c r="N47" s="47">
        <f>K47*I47*Inputs!$B$25/3600</f>
        <v/>
      </c>
    </row>
    <row r="48">
      <c r="A48" s="2" t="inlineStr">
        <is>
          <t>M31</t>
        </is>
      </c>
      <c r="B48" s="2" t="inlineStr">
        <is>
          <t>Minute</t>
        </is>
      </c>
      <c r="C48" s="42" t="n">
        <v>31</v>
      </c>
      <c r="D48" s="42">
        <f>IF(B48="Hour",MOD(C48,12)*30,C48*6)</f>
        <v/>
      </c>
      <c r="E48" s="42">
        <f>IF(B48="Hour",0,IF(B48="Minute",1+MOD(C48,5),6+MOD(C48,5)))</f>
        <v/>
      </c>
      <c r="F48" s="42">
        <f>IF(B48="Hour",MOD(C48,12),INT(C48/5))</f>
        <v/>
      </c>
      <c r="G48" s="64">
        <f>INDEX('LED types'!$F$5:$F$7,MATCH($B48,'LED types'!$A$5:$A$7,0))</f>
        <v/>
      </c>
      <c r="H48" s="64">
        <f>INDEX('LED types'!$H$5:$H$7,MATCH($B48,'LED types'!$A$5:$A$7,0))</f>
        <v/>
      </c>
      <c r="I48" s="64">
        <f>INDEX('LED types'!$I$5:$I$7,MATCH($B48,'LED types'!$A$5:$A$7,0))</f>
        <v/>
      </c>
      <c r="J48" s="64">
        <f>INDEX('LED types'!$J$5:$J$7,MATCH($B48,'LED types'!$A$5:$A$7,0))</f>
        <v/>
      </c>
      <c r="K48" s="42">
        <f>IF(OR(AND(B48="Hour",C48=Inputs!$B$22),AND(B48="Minute",C48=Inputs!$B$23),AND(B48="Second",C48=Inputs!$B$24)),1,0)</f>
        <v/>
      </c>
      <c r="L48" s="64">
        <f>K48*H48</f>
        <v/>
      </c>
      <c r="M48" s="64">
        <f>K48*I48</f>
        <v/>
      </c>
      <c r="N48" s="47">
        <f>K48*I48*Inputs!$B$25/3600</f>
        <v/>
      </c>
    </row>
    <row r="49">
      <c r="A49" s="2" t="inlineStr">
        <is>
          <t>M32</t>
        </is>
      </c>
      <c r="B49" s="2" t="inlineStr">
        <is>
          <t>Minute</t>
        </is>
      </c>
      <c r="C49" s="42" t="n">
        <v>32</v>
      </c>
      <c r="D49" s="42">
        <f>IF(B49="Hour",MOD(C49,12)*30,C49*6)</f>
        <v/>
      </c>
      <c r="E49" s="42">
        <f>IF(B49="Hour",0,IF(B49="Minute",1+MOD(C49,5),6+MOD(C49,5)))</f>
        <v/>
      </c>
      <c r="F49" s="42">
        <f>IF(B49="Hour",MOD(C49,12),INT(C49/5))</f>
        <v/>
      </c>
      <c r="G49" s="64">
        <f>INDEX('LED types'!$F$5:$F$7,MATCH($B49,'LED types'!$A$5:$A$7,0))</f>
        <v/>
      </c>
      <c r="H49" s="64">
        <f>INDEX('LED types'!$H$5:$H$7,MATCH($B49,'LED types'!$A$5:$A$7,0))</f>
        <v/>
      </c>
      <c r="I49" s="64">
        <f>INDEX('LED types'!$I$5:$I$7,MATCH($B49,'LED types'!$A$5:$A$7,0))</f>
        <v/>
      </c>
      <c r="J49" s="64">
        <f>INDEX('LED types'!$J$5:$J$7,MATCH($B49,'LED types'!$A$5:$A$7,0))</f>
        <v/>
      </c>
      <c r="K49" s="42">
        <f>IF(OR(AND(B49="Hour",C49=Inputs!$B$22),AND(B49="Minute",C49=Inputs!$B$23),AND(B49="Second",C49=Inputs!$B$24)),1,0)</f>
        <v/>
      </c>
      <c r="L49" s="64">
        <f>K49*H49</f>
        <v/>
      </c>
      <c r="M49" s="64">
        <f>K49*I49</f>
        <v/>
      </c>
      <c r="N49" s="47">
        <f>K49*I49*Inputs!$B$25/3600</f>
        <v/>
      </c>
    </row>
    <row r="50">
      <c r="A50" s="2" t="inlineStr">
        <is>
          <t>M33</t>
        </is>
      </c>
      <c r="B50" s="2" t="inlineStr">
        <is>
          <t>Minute</t>
        </is>
      </c>
      <c r="C50" s="42" t="n">
        <v>33</v>
      </c>
      <c r="D50" s="42">
        <f>IF(B50="Hour",MOD(C50,12)*30,C50*6)</f>
        <v/>
      </c>
      <c r="E50" s="42">
        <f>IF(B50="Hour",0,IF(B50="Minute",1+MOD(C50,5),6+MOD(C50,5)))</f>
        <v/>
      </c>
      <c r="F50" s="42">
        <f>IF(B50="Hour",MOD(C50,12),INT(C50/5))</f>
        <v/>
      </c>
      <c r="G50" s="64">
        <f>INDEX('LED types'!$F$5:$F$7,MATCH($B50,'LED types'!$A$5:$A$7,0))</f>
        <v/>
      </c>
      <c r="H50" s="64">
        <f>INDEX('LED types'!$H$5:$H$7,MATCH($B50,'LED types'!$A$5:$A$7,0))</f>
        <v/>
      </c>
      <c r="I50" s="64">
        <f>INDEX('LED types'!$I$5:$I$7,MATCH($B50,'LED types'!$A$5:$A$7,0))</f>
        <v/>
      </c>
      <c r="J50" s="64">
        <f>INDEX('LED types'!$J$5:$J$7,MATCH($B50,'LED types'!$A$5:$A$7,0))</f>
        <v/>
      </c>
      <c r="K50" s="42">
        <f>IF(OR(AND(B50="Hour",C50=Inputs!$B$22),AND(B50="Minute",C50=Inputs!$B$23),AND(B50="Second",C50=Inputs!$B$24)),1,0)</f>
        <v/>
      </c>
      <c r="L50" s="64">
        <f>K50*H50</f>
        <v/>
      </c>
      <c r="M50" s="64">
        <f>K50*I50</f>
        <v/>
      </c>
      <c r="N50" s="47">
        <f>K50*I50*Inputs!$B$25/3600</f>
        <v/>
      </c>
    </row>
    <row r="51">
      <c r="A51" s="2" t="inlineStr">
        <is>
          <t>M34</t>
        </is>
      </c>
      <c r="B51" s="2" t="inlineStr">
        <is>
          <t>Minute</t>
        </is>
      </c>
      <c r="C51" s="42" t="n">
        <v>34</v>
      </c>
      <c r="D51" s="42">
        <f>IF(B51="Hour",MOD(C51,12)*30,C51*6)</f>
        <v/>
      </c>
      <c r="E51" s="42">
        <f>IF(B51="Hour",0,IF(B51="Minute",1+MOD(C51,5),6+MOD(C51,5)))</f>
        <v/>
      </c>
      <c r="F51" s="42">
        <f>IF(B51="Hour",MOD(C51,12),INT(C51/5))</f>
        <v/>
      </c>
      <c r="G51" s="64">
        <f>INDEX('LED types'!$F$5:$F$7,MATCH($B51,'LED types'!$A$5:$A$7,0))</f>
        <v/>
      </c>
      <c r="H51" s="64">
        <f>INDEX('LED types'!$H$5:$H$7,MATCH($B51,'LED types'!$A$5:$A$7,0))</f>
        <v/>
      </c>
      <c r="I51" s="64">
        <f>INDEX('LED types'!$I$5:$I$7,MATCH($B51,'LED types'!$A$5:$A$7,0))</f>
        <v/>
      </c>
      <c r="J51" s="64">
        <f>INDEX('LED types'!$J$5:$J$7,MATCH($B51,'LED types'!$A$5:$A$7,0))</f>
        <v/>
      </c>
      <c r="K51" s="42">
        <f>IF(OR(AND(B51="Hour",C51=Inputs!$B$22),AND(B51="Minute",C51=Inputs!$B$23),AND(B51="Second",C51=Inputs!$B$24)),1,0)</f>
        <v/>
      </c>
      <c r="L51" s="64">
        <f>K51*H51</f>
        <v/>
      </c>
      <c r="M51" s="64">
        <f>K51*I51</f>
        <v/>
      </c>
      <c r="N51" s="47">
        <f>K51*I51*Inputs!$B$25/3600</f>
        <v/>
      </c>
    </row>
    <row r="52">
      <c r="A52" s="2" t="inlineStr">
        <is>
          <t>M35</t>
        </is>
      </c>
      <c r="B52" s="2" t="inlineStr">
        <is>
          <t>Minute</t>
        </is>
      </c>
      <c r="C52" s="42" t="n">
        <v>35</v>
      </c>
      <c r="D52" s="42">
        <f>IF(B52="Hour",MOD(C52,12)*30,C52*6)</f>
        <v/>
      </c>
      <c r="E52" s="42">
        <f>IF(B52="Hour",0,IF(B52="Minute",1+MOD(C52,5),6+MOD(C52,5)))</f>
        <v/>
      </c>
      <c r="F52" s="42">
        <f>IF(B52="Hour",MOD(C52,12),INT(C52/5))</f>
        <v/>
      </c>
      <c r="G52" s="64">
        <f>INDEX('LED types'!$F$5:$F$7,MATCH($B52,'LED types'!$A$5:$A$7,0))</f>
        <v/>
      </c>
      <c r="H52" s="64">
        <f>INDEX('LED types'!$H$5:$H$7,MATCH($B52,'LED types'!$A$5:$A$7,0))</f>
        <v/>
      </c>
      <c r="I52" s="64">
        <f>INDEX('LED types'!$I$5:$I$7,MATCH($B52,'LED types'!$A$5:$A$7,0))</f>
        <v/>
      </c>
      <c r="J52" s="64">
        <f>INDEX('LED types'!$J$5:$J$7,MATCH($B52,'LED types'!$A$5:$A$7,0))</f>
        <v/>
      </c>
      <c r="K52" s="42">
        <f>IF(OR(AND(B52="Hour",C52=Inputs!$B$22),AND(B52="Minute",C52=Inputs!$B$23),AND(B52="Second",C52=Inputs!$B$24)),1,0)</f>
        <v/>
      </c>
      <c r="L52" s="64">
        <f>K52*H52</f>
        <v/>
      </c>
      <c r="M52" s="64">
        <f>K52*I52</f>
        <v/>
      </c>
      <c r="N52" s="47">
        <f>K52*I52*Inputs!$B$25/3600</f>
        <v/>
      </c>
    </row>
    <row r="53">
      <c r="A53" s="2" t="inlineStr">
        <is>
          <t>M36</t>
        </is>
      </c>
      <c r="B53" s="2" t="inlineStr">
        <is>
          <t>Minute</t>
        </is>
      </c>
      <c r="C53" s="42" t="n">
        <v>36</v>
      </c>
      <c r="D53" s="42">
        <f>IF(B53="Hour",MOD(C53,12)*30,C53*6)</f>
        <v/>
      </c>
      <c r="E53" s="42">
        <f>IF(B53="Hour",0,IF(B53="Minute",1+MOD(C53,5),6+MOD(C53,5)))</f>
        <v/>
      </c>
      <c r="F53" s="42">
        <f>IF(B53="Hour",MOD(C53,12),INT(C53/5))</f>
        <v/>
      </c>
      <c r="G53" s="64">
        <f>INDEX('LED types'!$F$5:$F$7,MATCH($B53,'LED types'!$A$5:$A$7,0))</f>
        <v/>
      </c>
      <c r="H53" s="64">
        <f>INDEX('LED types'!$H$5:$H$7,MATCH($B53,'LED types'!$A$5:$A$7,0))</f>
        <v/>
      </c>
      <c r="I53" s="64">
        <f>INDEX('LED types'!$I$5:$I$7,MATCH($B53,'LED types'!$A$5:$A$7,0))</f>
        <v/>
      </c>
      <c r="J53" s="64">
        <f>INDEX('LED types'!$J$5:$J$7,MATCH($B53,'LED types'!$A$5:$A$7,0))</f>
        <v/>
      </c>
      <c r="K53" s="42">
        <f>IF(OR(AND(B53="Hour",C53=Inputs!$B$22),AND(B53="Minute",C53=Inputs!$B$23),AND(B53="Second",C53=Inputs!$B$24)),1,0)</f>
        <v/>
      </c>
      <c r="L53" s="64">
        <f>K53*H53</f>
        <v/>
      </c>
      <c r="M53" s="64">
        <f>K53*I53</f>
        <v/>
      </c>
      <c r="N53" s="47">
        <f>K53*I53*Inputs!$B$25/3600</f>
        <v/>
      </c>
    </row>
    <row r="54">
      <c r="A54" s="2" t="inlineStr">
        <is>
          <t>M37</t>
        </is>
      </c>
      <c r="B54" s="2" t="inlineStr">
        <is>
          <t>Minute</t>
        </is>
      </c>
      <c r="C54" s="42" t="n">
        <v>37</v>
      </c>
      <c r="D54" s="42">
        <f>IF(B54="Hour",MOD(C54,12)*30,C54*6)</f>
        <v/>
      </c>
      <c r="E54" s="42">
        <f>IF(B54="Hour",0,IF(B54="Minute",1+MOD(C54,5),6+MOD(C54,5)))</f>
        <v/>
      </c>
      <c r="F54" s="42">
        <f>IF(B54="Hour",MOD(C54,12),INT(C54/5))</f>
        <v/>
      </c>
      <c r="G54" s="64">
        <f>INDEX('LED types'!$F$5:$F$7,MATCH($B54,'LED types'!$A$5:$A$7,0))</f>
        <v/>
      </c>
      <c r="H54" s="64">
        <f>INDEX('LED types'!$H$5:$H$7,MATCH($B54,'LED types'!$A$5:$A$7,0))</f>
        <v/>
      </c>
      <c r="I54" s="64">
        <f>INDEX('LED types'!$I$5:$I$7,MATCH($B54,'LED types'!$A$5:$A$7,0))</f>
        <v/>
      </c>
      <c r="J54" s="64">
        <f>INDEX('LED types'!$J$5:$J$7,MATCH($B54,'LED types'!$A$5:$A$7,0))</f>
        <v/>
      </c>
      <c r="K54" s="42">
        <f>IF(OR(AND(B54="Hour",C54=Inputs!$B$22),AND(B54="Minute",C54=Inputs!$B$23),AND(B54="Second",C54=Inputs!$B$24)),1,0)</f>
        <v/>
      </c>
      <c r="L54" s="64">
        <f>K54*H54</f>
        <v/>
      </c>
      <c r="M54" s="64">
        <f>K54*I54</f>
        <v/>
      </c>
      <c r="N54" s="47">
        <f>K54*I54*Inputs!$B$25/3600</f>
        <v/>
      </c>
    </row>
    <row r="55">
      <c r="A55" s="2" t="inlineStr">
        <is>
          <t>M38</t>
        </is>
      </c>
      <c r="B55" s="2" t="inlineStr">
        <is>
          <t>Minute</t>
        </is>
      </c>
      <c r="C55" s="42" t="n">
        <v>38</v>
      </c>
      <c r="D55" s="42">
        <f>IF(B55="Hour",MOD(C55,12)*30,C55*6)</f>
        <v/>
      </c>
      <c r="E55" s="42">
        <f>IF(B55="Hour",0,IF(B55="Minute",1+MOD(C55,5),6+MOD(C55,5)))</f>
        <v/>
      </c>
      <c r="F55" s="42">
        <f>IF(B55="Hour",MOD(C55,12),INT(C55/5))</f>
        <v/>
      </c>
      <c r="G55" s="64">
        <f>INDEX('LED types'!$F$5:$F$7,MATCH($B55,'LED types'!$A$5:$A$7,0))</f>
        <v/>
      </c>
      <c r="H55" s="64">
        <f>INDEX('LED types'!$H$5:$H$7,MATCH($B55,'LED types'!$A$5:$A$7,0))</f>
        <v/>
      </c>
      <c r="I55" s="64">
        <f>INDEX('LED types'!$I$5:$I$7,MATCH($B55,'LED types'!$A$5:$A$7,0))</f>
        <v/>
      </c>
      <c r="J55" s="64">
        <f>INDEX('LED types'!$J$5:$J$7,MATCH($B55,'LED types'!$A$5:$A$7,0))</f>
        <v/>
      </c>
      <c r="K55" s="42">
        <f>IF(OR(AND(B55="Hour",C55=Inputs!$B$22),AND(B55="Minute",C55=Inputs!$B$23),AND(B55="Second",C55=Inputs!$B$24)),1,0)</f>
        <v/>
      </c>
      <c r="L55" s="64">
        <f>K55*H55</f>
        <v/>
      </c>
      <c r="M55" s="64">
        <f>K55*I55</f>
        <v/>
      </c>
      <c r="N55" s="47">
        <f>K55*I55*Inputs!$B$25/3600</f>
        <v/>
      </c>
    </row>
    <row r="56">
      <c r="A56" s="2" t="inlineStr">
        <is>
          <t>M39</t>
        </is>
      </c>
      <c r="B56" s="2" t="inlineStr">
        <is>
          <t>Minute</t>
        </is>
      </c>
      <c r="C56" s="42" t="n">
        <v>39</v>
      </c>
      <c r="D56" s="42">
        <f>IF(B56="Hour",MOD(C56,12)*30,C56*6)</f>
        <v/>
      </c>
      <c r="E56" s="42">
        <f>IF(B56="Hour",0,IF(B56="Minute",1+MOD(C56,5),6+MOD(C56,5)))</f>
        <v/>
      </c>
      <c r="F56" s="42">
        <f>IF(B56="Hour",MOD(C56,12),INT(C56/5))</f>
        <v/>
      </c>
      <c r="G56" s="64">
        <f>INDEX('LED types'!$F$5:$F$7,MATCH($B56,'LED types'!$A$5:$A$7,0))</f>
        <v/>
      </c>
      <c r="H56" s="64">
        <f>INDEX('LED types'!$H$5:$H$7,MATCH($B56,'LED types'!$A$5:$A$7,0))</f>
        <v/>
      </c>
      <c r="I56" s="64">
        <f>INDEX('LED types'!$I$5:$I$7,MATCH($B56,'LED types'!$A$5:$A$7,0))</f>
        <v/>
      </c>
      <c r="J56" s="64">
        <f>INDEX('LED types'!$J$5:$J$7,MATCH($B56,'LED types'!$A$5:$A$7,0))</f>
        <v/>
      </c>
      <c r="K56" s="42">
        <f>IF(OR(AND(B56="Hour",C56=Inputs!$B$22),AND(B56="Minute",C56=Inputs!$B$23),AND(B56="Second",C56=Inputs!$B$24)),1,0)</f>
        <v/>
      </c>
      <c r="L56" s="64">
        <f>K56*H56</f>
        <v/>
      </c>
      <c r="M56" s="64">
        <f>K56*I56</f>
        <v/>
      </c>
      <c r="N56" s="47">
        <f>K56*I56*Inputs!$B$25/3600</f>
        <v/>
      </c>
    </row>
    <row r="57">
      <c r="A57" s="2" t="inlineStr">
        <is>
          <t>M40</t>
        </is>
      </c>
      <c r="B57" s="2" t="inlineStr">
        <is>
          <t>Minute</t>
        </is>
      </c>
      <c r="C57" s="42" t="n">
        <v>40</v>
      </c>
      <c r="D57" s="42">
        <f>IF(B57="Hour",MOD(C57,12)*30,C57*6)</f>
        <v/>
      </c>
      <c r="E57" s="42">
        <f>IF(B57="Hour",0,IF(B57="Minute",1+MOD(C57,5),6+MOD(C57,5)))</f>
        <v/>
      </c>
      <c r="F57" s="42">
        <f>IF(B57="Hour",MOD(C57,12),INT(C57/5))</f>
        <v/>
      </c>
      <c r="G57" s="64">
        <f>INDEX('LED types'!$F$5:$F$7,MATCH($B57,'LED types'!$A$5:$A$7,0))</f>
        <v/>
      </c>
      <c r="H57" s="64">
        <f>INDEX('LED types'!$H$5:$H$7,MATCH($B57,'LED types'!$A$5:$A$7,0))</f>
        <v/>
      </c>
      <c r="I57" s="64">
        <f>INDEX('LED types'!$I$5:$I$7,MATCH($B57,'LED types'!$A$5:$A$7,0))</f>
        <v/>
      </c>
      <c r="J57" s="64">
        <f>INDEX('LED types'!$J$5:$J$7,MATCH($B57,'LED types'!$A$5:$A$7,0))</f>
        <v/>
      </c>
      <c r="K57" s="42">
        <f>IF(OR(AND(B57="Hour",C57=Inputs!$B$22),AND(B57="Minute",C57=Inputs!$B$23),AND(B57="Second",C57=Inputs!$B$24)),1,0)</f>
        <v/>
      </c>
      <c r="L57" s="64">
        <f>K57*H57</f>
        <v/>
      </c>
      <c r="M57" s="64">
        <f>K57*I57</f>
        <v/>
      </c>
      <c r="N57" s="47">
        <f>K57*I57*Inputs!$B$25/3600</f>
        <v/>
      </c>
    </row>
    <row r="58">
      <c r="A58" s="2" t="inlineStr">
        <is>
          <t>M41</t>
        </is>
      </c>
      <c r="B58" s="2" t="inlineStr">
        <is>
          <t>Minute</t>
        </is>
      </c>
      <c r="C58" s="42" t="n">
        <v>41</v>
      </c>
      <c r="D58" s="42">
        <f>IF(B58="Hour",MOD(C58,12)*30,C58*6)</f>
        <v/>
      </c>
      <c r="E58" s="42">
        <f>IF(B58="Hour",0,IF(B58="Minute",1+MOD(C58,5),6+MOD(C58,5)))</f>
        <v/>
      </c>
      <c r="F58" s="42">
        <f>IF(B58="Hour",MOD(C58,12),INT(C58/5))</f>
        <v/>
      </c>
      <c r="G58" s="64">
        <f>INDEX('LED types'!$F$5:$F$7,MATCH($B58,'LED types'!$A$5:$A$7,0))</f>
        <v/>
      </c>
      <c r="H58" s="64">
        <f>INDEX('LED types'!$H$5:$H$7,MATCH($B58,'LED types'!$A$5:$A$7,0))</f>
        <v/>
      </c>
      <c r="I58" s="64">
        <f>INDEX('LED types'!$I$5:$I$7,MATCH($B58,'LED types'!$A$5:$A$7,0))</f>
        <v/>
      </c>
      <c r="J58" s="64">
        <f>INDEX('LED types'!$J$5:$J$7,MATCH($B58,'LED types'!$A$5:$A$7,0))</f>
        <v/>
      </c>
      <c r="K58" s="42">
        <f>IF(OR(AND(B58="Hour",C58=Inputs!$B$22),AND(B58="Minute",C58=Inputs!$B$23),AND(B58="Second",C58=Inputs!$B$24)),1,0)</f>
        <v/>
      </c>
      <c r="L58" s="64">
        <f>K58*H58</f>
        <v/>
      </c>
      <c r="M58" s="64">
        <f>K58*I58</f>
        <v/>
      </c>
      <c r="N58" s="47">
        <f>K58*I58*Inputs!$B$25/3600</f>
        <v/>
      </c>
    </row>
    <row r="59">
      <c r="A59" s="2" t="inlineStr">
        <is>
          <t>M42</t>
        </is>
      </c>
      <c r="B59" s="2" t="inlineStr">
        <is>
          <t>Minute</t>
        </is>
      </c>
      <c r="C59" s="42" t="n">
        <v>42</v>
      </c>
      <c r="D59" s="42">
        <f>IF(B59="Hour",MOD(C59,12)*30,C59*6)</f>
        <v/>
      </c>
      <c r="E59" s="42">
        <f>IF(B59="Hour",0,IF(B59="Minute",1+MOD(C59,5),6+MOD(C59,5)))</f>
        <v/>
      </c>
      <c r="F59" s="42">
        <f>IF(B59="Hour",MOD(C59,12),INT(C59/5))</f>
        <v/>
      </c>
      <c r="G59" s="64">
        <f>INDEX('LED types'!$F$5:$F$7,MATCH($B59,'LED types'!$A$5:$A$7,0))</f>
        <v/>
      </c>
      <c r="H59" s="64">
        <f>INDEX('LED types'!$H$5:$H$7,MATCH($B59,'LED types'!$A$5:$A$7,0))</f>
        <v/>
      </c>
      <c r="I59" s="64">
        <f>INDEX('LED types'!$I$5:$I$7,MATCH($B59,'LED types'!$A$5:$A$7,0))</f>
        <v/>
      </c>
      <c r="J59" s="64">
        <f>INDEX('LED types'!$J$5:$J$7,MATCH($B59,'LED types'!$A$5:$A$7,0))</f>
        <v/>
      </c>
      <c r="K59" s="42">
        <f>IF(OR(AND(B59="Hour",C59=Inputs!$B$22),AND(B59="Minute",C59=Inputs!$B$23),AND(B59="Second",C59=Inputs!$B$24)),1,0)</f>
        <v/>
      </c>
      <c r="L59" s="64">
        <f>K59*H59</f>
        <v/>
      </c>
      <c r="M59" s="64">
        <f>K59*I59</f>
        <v/>
      </c>
      <c r="N59" s="47">
        <f>K59*I59*Inputs!$B$25/3600</f>
        <v/>
      </c>
    </row>
    <row r="60">
      <c r="A60" s="2" t="inlineStr">
        <is>
          <t>M43</t>
        </is>
      </c>
      <c r="B60" s="2" t="inlineStr">
        <is>
          <t>Minute</t>
        </is>
      </c>
      <c r="C60" s="42" t="n">
        <v>43</v>
      </c>
      <c r="D60" s="42">
        <f>IF(B60="Hour",MOD(C60,12)*30,C60*6)</f>
        <v/>
      </c>
      <c r="E60" s="42">
        <f>IF(B60="Hour",0,IF(B60="Minute",1+MOD(C60,5),6+MOD(C60,5)))</f>
        <v/>
      </c>
      <c r="F60" s="42">
        <f>IF(B60="Hour",MOD(C60,12),INT(C60/5))</f>
        <v/>
      </c>
      <c r="G60" s="64">
        <f>INDEX('LED types'!$F$5:$F$7,MATCH($B60,'LED types'!$A$5:$A$7,0))</f>
        <v/>
      </c>
      <c r="H60" s="64">
        <f>INDEX('LED types'!$H$5:$H$7,MATCH($B60,'LED types'!$A$5:$A$7,0))</f>
        <v/>
      </c>
      <c r="I60" s="64">
        <f>INDEX('LED types'!$I$5:$I$7,MATCH($B60,'LED types'!$A$5:$A$7,0))</f>
        <v/>
      </c>
      <c r="J60" s="64">
        <f>INDEX('LED types'!$J$5:$J$7,MATCH($B60,'LED types'!$A$5:$A$7,0))</f>
        <v/>
      </c>
      <c r="K60" s="42">
        <f>IF(OR(AND(B60="Hour",C60=Inputs!$B$22),AND(B60="Minute",C60=Inputs!$B$23),AND(B60="Second",C60=Inputs!$B$24)),1,0)</f>
        <v/>
      </c>
      <c r="L60" s="64">
        <f>K60*H60</f>
        <v/>
      </c>
      <c r="M60" s="64">
        <f>K60*I60</f>
        <v/>
      </c>
      <c r="N60" s="47">
        <f>K60*I60*Inputs!$B$25/3600</f>
        <v/>
      </c>
    </row>
    <row r="61">
      <c r="A61" s="2" t="inlineStr">
        <is>
          <t>M44</t>
        </is>
      </c>
      <c r="B61" s="2" t="inlineStr">
        <is>
          <t>Minute</t>
        </is>
      </c>
      <c r="C61" s="42" t="n">
        <v>44</v>
      </c>
      <c r="D61" s="42">
        <f>IF(B61="Hour",MOD(C61,12)*30,C61*6)</f>
        <v/>
      </c>
      <c r="E61" s="42">
        <f>IF(B61="Hour",0,IF(B61="Minute",1+MOD(C61,5),6+MOD(C61,5)))</f>
        <v/>
      </c>
      <c r="F61" s="42">
        <f>IF(B61="Hour",MOD(C61,12),INT(C61/5))</f>
        <v/>
      </c>
      <c r="G61" s="64">
        <f>INDEX('LED types'!$F$5:$F$7,MATCH($B61,'LED types'!$A$5:$A$7,0))</f>
        <v/>
      </c>
      <c r="H61" s="64">
        <f>INDEX('LED types'!$H$5:$H$7,MATCH($B61,'LED types'!$A$5:$A$7,0))</f>
        <v/>
      </c>
      <c r="I61" s="64">
        <f>INDEX('LED types'!$I$5:$I$7,MATCH($B61,'LED types'!$A$5:$A$7,0))</f>
        <v/>
      </c>
      <c r="J61" s="64">
        <f>INDEX('LED types'!$J$5:$J$7,MATCH($B61,'LED types'!$A$5:$A$7,0))</f>
        <v/>
      </c>
      <c r="K61" s="42">
        <f>IF(OR(AND(B61="Hour",C61=Inputs!$B$22),AND(B61="Minute",C61=Inputs!$B$23),AND(B61="Second",C61=Inputs!$B$24)),1,0)</f>
        <v/>
      </c>
      <c r="L61" s="64">
        <f>K61*H61</f>
        <v/>
      </c>
      <c r="M61" s="64">
        <f>K61*I61</f>
        <v/>
      </c>
      <c r="N61" s="47">
        <f>K61*I61*Inputs!$B$25/3600</f>
        <v/>
      </c>
    </row>
    <row r="62">
      <c r="A62" s="2" t="inlineStr">
        <is>
          <t>M45</t>
        </is>
      </c>
      <c r="B62" s="2" t="inlineStr">
        <is>
          <t>Minute</t>
        </is>
      </c>
      <c r="C62" s="42" t="n">
        <v>45</v>
      </c>
      <c r="D62" s="42">
        <f>IF(B62="Hour",MOD(C62,12)*30,C62*6)</f>
        <v/>
      </c>
      <c r="E62" s="42">
        <f>IF(B62="Hour",0,IF(B62="Minute",1+MOD(C62,5),6+MOD(C62,5)))</f>
        <v/>
      </c>
      <c r="F62" s="42">
        <f>IF(B62="Hour",MOD(C62,12),INT(C62/5))</f>
        <v/>
      </c>
      <c r="G62" s="64">
        <f>INDEX('LED types'!$F$5:$F$7,MATCH($B62,'LED types'!$A$5:$A$7,0))</f>
        <v/>
      </c>
      <c r="H62" s="64">
        <f>INDEX('LED types'!$H$5:$H$7,MATCH($B62,'LED types'!$A$5:$A$7,0))</f>
        <v/>
      </c>
      <c r="I62" s="64">
        <f>INDEX('LED types'!$I$5:$I$7,MATCH($B62,'LED types'!$A$5:$A$7,0))</f>
        <v/>
      </c>
      <c r="J62" s="64">
        <f>INDEX('LED types'!$J$5:$J$7,MATCH($B62,'LED types'!$A$5:$A$7,0))</f>
        <v/>
      </c>
      <c r="K62" s="42">
        <f>IF(OR(AND(B62="Hour",C62=Inputs!$B$22),AND(B62="Minute",C62=Inputs!$B$23),AND(B62="Second",C62=Inputs!$B$24)),1,0)</f>
        <v/>
      </c>
      <c r="L62" s="64">
        <f>K62*H62</f>
        <v/>
      </c>
      <c r="M62" s="64">
        <f>K62*I62</f>
        <v/>
      </c>
      <c r="N62" s="47">
        <f>K62*I62*Inputs!$B$25/3600</f>
        <v/>
      </c>
    </row>
    <row r="63">
      <c r="A63" s="2" t="inlineStr">
        <is>
          <t>M46</t>
        </is>
      </c>
      <c r="B63" s="2" t="inlineStr">
        <is>
          <t>Minute</t>
        </is>
      </c>
      <c r="C63" s="42" t="n">
        <v>46</v>
      </c>
      <c r="D63" s="42">
        <f>IF(B63="Hour",MOD(C63,12)*30,C63*6)</f>
        <v/>
      </c>
      <c r="E63" s="42">
        <f>IF(B63="Hour",0,IF(B63="Minute",1+MOD(C63,5),6+MOD(C63,5)))</f>
        <v/>
      </c>
      <c r="F63" s="42">
        <f>IF(B63="Hour",MOD(C63,12),INT(C63/5))</f>
        <v/>
      </c>
      <c r="G63" s="64">
        <f>INDEX('LED types'!$F$5:$F$7,MATCH($B63,'LED types'!$A$5:$A$7,0))</f>
        <v/>
      </c>
      <c r="H63" s="64">
        <f>INDEX('LED types'!$H$5:$H$7,MATCH($B63,'LED types'!$A$5:$A$7,0))</f>
        <v/>
      </c>
      <c r="I63" s="64">
        <f>INDEX('LED types'!$I$5:$I$7,MATCH($B63,'LED types'!$A$5:$A$7,0))</f>
        <v/>
      </c>
      <c r="J63" s="64">
        <f>INDEX('LED types'!$J$5:$J$7,MATCH($B63,'LED types'!$A$5:$A$7,0))</f>
        <v/>
      </c>
      <c r="K63" s="42">
        <f>IF(OR(AND(B63="Hour",C63=Inputs!$B$22),AND(B63="Minute",C63=Inputs!$B$23),AND(B63="Second",C63=Inputs!$B$24)),1,0)</f>
        <v/>
      </c>
      <c r="L63" s="64">
        <f>K63*H63</f>
        <v/>
      </c>
      <c r="M63" s="64">
        <f>K63*I63</f>
        <v/>
      </c>
      <c r="N63" s="47">
        <f>K63*I63*Inputs!$B$25/3600</f>
        <v/>
      </c>
    </row>
    <row r="64">
      <c r="A64" s="2" t="inlineStr">
        <is>
          <t>M47</t>
        </is>
      </c>
      <c r="B64" s="2" t="inlineStr">
        <is>
          <t>Minute</t>
        </is>
      </c>
      <c r="C64" s="42" t="n">
        <v>47</v>
      </c>
      <c r="D64" s="42">
        <f>IF(B64="Hour",MOD(C64,12)*30,C64*6)</f>
        <v/>
      </c>
      <c r="E64" s="42">
        <f>IF(B64="Hour",0,IF(B64="Minute",1+MOD(C64,5),6+MOD(C64,5)))</f>
        <v/>
      </c>
      <c r="F64" s="42">
        <f>IF(B64="Hour",MOD(C64,12),INT(C64/5))</f>
        <v/>
      </c>
      <c r="G64" s="64">
        <f>INDEX('LED types'!$F$5:$F$7,MATCH($B64,'LED types'!$A$5:$A$7,0))</f>
        <v/>
      </c>
      <c r="H64" s="64">
        <f>INDEX('LED types'!$H$5:$H$7,MATCH($B64,'LED types'!$A$5:$A$7,0))</f>
        <v/>
      </c>
      <c r="I64" s="64">
        <f>INDEX('LED types'!$I$5:$I$7,MATCH($B64,'LED types'!$A$5:$A$7,0))</f>
        <v/>
      </c>
      <c r="J64" s="64">
        <f>INDEX('LED types'!$J$5:$J$7,MATCH($B64,'LED types'!$A$5:$A$7,0))</f>
        <v/>
      </c>
      <c r="K64" s="42">
        <f>IF(OR(AND(B64="Hour",C64=Inputs!$B$22),AND(B64="Minute",C64=Inputs!$B$23),AND(B64="Second",C64=Inputs!$B$24)),1,0)</f>
        <v/>
      </c>
      <c r="L64" s="64">
        <f>K64*H64</f>
        <v/>
      </c>
      <c r="M64" s="64">
        <f>K64*I64</f>
        <v/>
      </c>
      <c r="N64" s="47">
        <f>K64*I64*Inputs!$B$25/3600</f>
        <v/>
      </c>
    </row>
    <row r="65">
      <c r="A65" s="2" t="inlineStr">
        <is>
          <t>M48</t>
        </is>
      </c>
      <c r="B65" s="2" t="inlineStr">
        <is>
          <t>Minute</t>
        </is>
      </c>
      <c r="C65" s="42" t="n">
        <v>48</v>
      </c>
      <c r="D65" s="42">
        <f>IF(B65="Hour",MOD(C65,12)*30,C65*6)</f>
        <v/>
      </c>
      <c r="E65" s="42">
        <f>IF(B65="Hour",0,IF(B65="Minute",1+MOD(C65,5),6+MOD(C65,5)))</f>
        <v/>
      </c>
      <c r="F65" s="42">
        <f>IF(B65="Hour",MOD(C65,12),INT(C65/5))</f>
        <v/>
      </c>
      <c r="G65" s="64">
        <f>INDEX('LED types'!$F$5:$F$7,MATCH($B65,'LED types'!$A$5:$A$7,0))</f>
        <v/>
      </c>
      <c r="H65" s="64">
        <f>INDEX('LED types'!$H$5:$H$7,MATCH($B65,'LED types'!$A$5:$A$7,0))</f>
        <v/>
      </c>
      <c r="I65" s="64">
        <f>INDEX('LED types'!$I$5:$I$7,MATCH($B65,'LED types'!$A$5:$A$7,0))</f>
        <v/>
      </c>
      <c r="J65" s="64">
        <f>INDEX('LED types'!$J$5:$J$7,MATCH($B65,'LED types'!$A$5:$A$7,0))</f>
        <v/>
      </c>
      <c r="K65" s="42">
        <f>IF(OR(AND(B65="Hour",C65=Inputs!$B$22),AND(B65="Minute",C65=Inputs!$B$23),AND(B65="Second",C65=Inputs!$B$24)),1,0)</f>
        <v/>
      </c>
      <c r="L65" s="64">
        <f>K65*H65</f>
        <v/>
      </c>
      <c r="M65" s="64">
        <f>K65*I65</f>
        <v/>
      </c>
      <c r="N65" s="47">
        <f>K65*I65*Inputs!$B$25/3600</f>
        <v/>
      </c>
    </row>
    <row r="66">
      <c r="A66" s="2" t="inlineStr">
        <is>
          <t>M49</t>
        </is>
      </c>
      <c r="B66" s="2" t="inlineStr">
        <is>
          <t>Minute</t>
        </is>
      </c>
      <c r="C66" s="42" t="n">
        <v>49</v>
      </c>
      <c r="D66" s="42">
        <f>IF(B66="Hour",MOD(C66,12)*30,C66*6)</f>
        <v/>
      </c>
      <c r="E66" s="42">
        <f>IF(B66="Hour",0,IF(B66="Minute",1+MOD(C66,5),6+MOD(C66,5)))</f>
        <v/>
      </c>
      <c r="F66" s="42">
        <f>IF(B66="Hour",MOD(C66,12),INT(C66/5))</f>
        <v/>
      </c>
      <c r="G66" s="64">
        <f>INDEX('LED types'!$F$5:$F$7,MATCH($B66,'LED types'!$A$5:$A$7,0))</f>
        <v/>
      </c>
      <c r="H66" s="64">
        <f>INDEX('LED types'!$H$5:$H$7,MATCH($B66,'LED types'!$A$5:$A$7,0))</f>
        <v/>
      </c>
      <c r="I66" s="64">
        <f>INDEX('LED types'!$I$5:$I$7,MATCH($B66,'LED types'!$A$5:$A$7,0))</f>
        <v/>
      </c>
      <c r="J66" s="64">
        <f>INDEX('LED types'!$J$5:$J$7,MATCH($B66,'LED types'!$A$5:$A$7,0))</f>
        <v/>
      </c>
      <c r="K66" s="42">
        <f>IF(OR(AND(B66="Hour",C66=Inputs!$B$22),AND(B66="Minute",C66=Inputs!$B$23),AND(B66="Second",C66=Inputs!$B$24)),1,0)</f>
        <v/>
      </c>
      <c r="L66" s="64">
        <f>K66*H66</f>
        <v/>
      </c>
      <c r="M66" s="64">
        <f>K66*I66</f>
        <v/>
      </c>
      <c r="N66" s="47">
        <f>K66*I66*Inputs!$B$25/3600</f>
        <v/>
      </c>
    </row>
    <row r="67">
      <c r="A67" s="2" t="inlineStr">
        <is>
          <t>M50</t>
        </is>
      </c>
      <c r="B67" s="2" t="inlineStr">
        <is>
          <t>Minute</t>
        </is>
      </c>
      <c r="C67" s="42" t="n">
        <v>50</v>
      </c>
      <c r="D67" s="42">
        <f>IF(B67="Hour",MOD(C67,12)*30,C67*6)</f>
        <v/>
      </c>
      <c r="E67" s="42">
        <f>IF(B67="Hour",0,IF(B67="Minute",1+MOD(C67,5),6+MOD(C67,5)))</f>
        <v/>
      </c>
      <c r="F67" s="42">
        <f>IF(B67="Hour",MOD(C67,12),INT(C67/5))</f>
        <v/>
      </c>
      <c r="G67" s="64">
        <f>INDEX('LED types'!$F$5:$F$7,MATCH($B67,'LED types'!$A$5:$A$7,0))</f>
        <v/>
      </c>
      <c r="H67" s="64">
        <f>INDEX('LED types'!$H$5:$H$7,MATCH($B67,'LED types'!$A$5:$A$7,0))</f>
        <v/>
      </c>
      <c r="I67" s="64">
        <f>INDEX('LED types'!$I$5:$I$7,MATCH($B67,'LED types'!$A$5:$A$7,0))</f>
        <v/>
      </c>
      <c r="J67" s="64">
        <f>INDEX('LED types'!$J$5:$J$7,MATCH($B67,'LED types'!$A$5:$A$7,0))</f>
        <v/>
      </c>
      <c r="K67" s="42">
        <f>IF(OR(AND(B67="Hour",C67=Inputs!$B$22),AND(B67="Minute",C67=Inputs!$B$23),AND(B67="Second",C67=Inputs!$B$24)),1,0)</f>
        <v/>
      </c>
      <c r="L67" s="64">
        <f>K67*H67</f>
        <v/>
      </c>
      <c r="M67" s="64">
        <f>K67*I67</f>
        <v/>
      </c>
      <c r="N67" s="47">
        <f>K67*I67*Inputs!$B$25/3600</f>
        <v/>
      </c>
    </row>
    <row r="68">
      <c r="A68" s="2" t="inlineStr">
        <is>
          <t>M51</t>
        </is>
      </c>
      <c r="B68" s="2" t="inlineStr">
        <is>
          <t>Minute</t>
        </is>
      </c>
      <c r="C68" s="42" t="n">
        <v>51</v>
      </c>
      <c r="D68" s="42">
        <f>IF(B68="Hour",MOD(C68,12)*30,C68*6)</f>
        <v/>
      </c>
      <c r="E68" s="42">
        <f>IF(B68="Hour",0,IF(B68="Minute",1+MOD(C68,5),6+MOD(C68,5)))</f>
        <v/>
      </c>
      <c r="F68" s="42">
        <f>IF(B68="Hour",MOD(C68,12),INT(C68/5))</f>
        <v/>
      </c>
      <c r="G68" s="64">
        <f>INDEX('LED types'!$F$5:$F$7,MATCH($B68,'LED types'!$A$5:$A$7,0))</f>
        <v/>
      </c>
      <c r="H68" s="64">
        <f>INDEX('LED types'!$H$5:$H$7,MATCH($B68,'LED types'!$A$5:$A$7,0))</f>
        <v/>
      </c>
      <c r="I68" s="64">
        <f>INDEX('LED types'!$I$5:$I$7,MATCH($B68,'LED types'!$A$5:$A$7,0))</f>
        <v/>
      </c>
      <c r="J68" s="64">
        <f>INDEX('LED types'!$J$5:$J$7,MATCH($B68,'LED types'!$A$5:$A$7,0))</f>
        <v/>
      </c>
      <c r="K68" s="42">
        <f>IF(OR(AND(B68="Hour",C68=Inputs!$B$22),AND(B68="Minute",C68=Inputs!$B$23),AND(B68="Second",C68=Inputs!$B$24)),1,0)</f>
        <v/>
      </c>
      <c r="L68" s="64">
        <f>K68*H68</f>
        <v/>
      </c>
      <c r="M68" s="64">
        <f>K68*I68</f>
        <v/>
      </c>
      <c r="N68" s="47">
        <f>K68*I68*Inputs!$B$25/3600</f>
        <v/>
      </c>
    </row>
    <row r="69">
      <c r="A69" s="2" t="inlineStr">
        <is>
          <t>M52</t>
        </is>
      </c>
      <c r="B69" s="2" t="inlineStr">
        <is>
          <t>Minute</t>
        </is>
      </c>
      <c r="C69" s="42" t="n">
        <v>52</v>
      </c>
      <c r="D69" s="42">
        <f>IF(B69="Hour",MOD(C69,12)*30,C69*6)</f>
        <v/>
      </c>
      <c r="E69" s="42">
        <f>IF(B69="Hour",0,IF(B69="Minute",1+MOD(C69,5),6+MOD(C69,5)))</f>
        <v/>
      </c>
      <c r="F69" s="42">
        <f>IF(B69="Hour",MOD(C69,12),INT(C69/5))</f>
        <v/>
      </c>
      <c r="G69" s="64">
        <f>INDEX('LED types'!$F$5:$F$7,MATCH($B69,'LED types'!$A$5:$A$7,0))</f>
        <v/>
      </c>
      <c r="H69" s="64">
        <f>INDEX('LED types'!$H$5:$H$7,MATCH($B69,'LED types'!$A$5:$A$7,0))</f>
        <v/>
      </c>
      <c r="I69" s="64">
        <f>INDEX('LED types'!$I$5:$I$7,MATCH($B69,'LED types'!$A$5:$A$7,0))</f>
        <v/>
      </c>
      <c r="J69" s="64">
        <f>INDEX('LED types'!$J$5:$J$7,MATCH($B69,'LED types'!$A$5:$A$7,0))</f>
        <v/>
      </c>
      <c r="K69" s="42">
        <f>IF(OR(AND(B69="Hour",C69=Inputs!$B$22),AND(B69="Minute",C69=Inputs!$B$23),AND(B69="Second",C69=Inputs!$B$24)),1,0)</f>
        <v/>
      </c>
      <c r="L69" s="64">
        <f>K69*H69</f>
        <v/>
      </c>
      <c r="M69" s="64">
        <f>K69*I69</f>
        <v/>
      </c>
      <c r="N69" s="47">
        <f>K69*I69*Inputs!$B$25/3600</f>
        <v/>
      </c>
    </row>
    <row r="70">
      <c r="A70" s="2" t="inlineStr">
        <is>
          <t>M53</t>
        </is>
      </c>
      <c r="B70" s="2" t="inlineStr">
        <is>
          <t>Minute</t>
        </is>
      </c>
      <c r="C70" s="42" t="n">
        <v>53</v>
      </c>
      <c r="D70" s="42">
        <f>IF(B70="Hour",MOD(C70,12)*30,C70*6)</f>
        <v/>
      </c>
      <c r="E70" s="42">
        <f>IF(B70="Hour",0,IF(B70="Minute",1+MOD(C70,5),6+MOD(C70,5)))</f>
        <v/>
      </c>
      <c r="F70" s="42">
        <f>IF(B70="Hour",MOD(C70,12),INT(C70/5))</f>
        <v/>
      </c>
      <c r="G70" s="64">
        <f>INDEX('LED types'!$F$5:$F$7,MATCH($B70,'LED types'!$A$5:$A$7,0))</f>
        <v/>
      </c>
      <c r="H70" s="64">
        <f>INDEX('LED types'!$H$5:$H$7,MATCH($B70,'LED types'!$A$5:$A$7,0))</f>
        <v/>
      </c>
      <c r="I70" s="64">
        <f>INDEX('LED types'!$I$5:$I$7,MATCH($B70,'LED types'!$A$5:$A$7,0))</f>
        <v/>
      </c>
      <c r="J70" s="64">
        <f>INDEX('LED types'!$J$5:$J$7,MATCH($B70,'LED types'!$A$5:$A$7,0))</f>
        <v/>
      </c>
      <c r="K70" s="42">
        <f>IF(OR(AND(B70="Hour",C70=Inputs!$B$22),AND(B70="Minute",C70=Inputs!$B$23),AND(B70="Second",C70=Inputs!$B$24)),1,0)</f>
        <v/>
      </c>
      <c r="L70" s="64">
        <f>K70*H70</f>
        <v/>
      </c>
      <c r="M70" s="64">
        <f>K70*I70</f>
        <v/>
      </c>
      <c r="N70" s="47">
        <f>K70*I70*Inputs!$B$25/3600</f>
        <v/>
      </c>
    </row>
    <row r="71">
      <c r="A71" s="2" t="inlineStr">
        <is>
          <t>M54</t>
        </is>
      </c>
      <c r="B71" s="2" t="inlineStr">
        <is>
          <t>Minute</t>
        </is>
      </c>
      <c r="C71" s="42" t="n">
        <v>54</v>
      </c>
      <c r="D71" s="42">
        <f>IF(B71="Hour",MOD(C71,12)*30,C71*6)</f>
        <v/>
      </c>
      <c r="E71" s="42">
        <f>IF(B71="Hour",0,IF(B71="Minute",1+MOD(C71,5),6+MOD(C71,5)))</f>
        <v/>
      </c>
      <c r="F71" s="42">
        <f>IF(B71="Hour",MOD(C71,12),INT(C71/5))</f>
        <v/>
      </c>
      <c r="G71" s="64">
        <f>INDEX('LED types'!$F$5:$F$7,MATCH($B71,'LED types'!$A$5:$A$7,0))</f>
        <v/>
      </c>
      <c r="H71" s="64">
        <f>INDEX('LED types'!$H$5:$H$7,MATCH($B71,'LED types'!$A$5:$A$7,0))</f>
        <v/>
      </c>
      <c r="I71" s="64">
        <f>INDEX('LED types'!$I$5:$I$7,MATCH($B71,'LED types'!$A$5:$A$7,0))</f>
        <v/>
      </c>
      <c r="J71" s="64">
        <f>INDEX('LED types'!$J$5:$J$7,MATCH($B71,'LED types'!$A$5:$A$7,0))</f>
        <v/>
      </c>
      <c r="K71" s="42">
        <f>IF(OR(AND(B71="Hour",C71=Inputs!$B$22),AND(B71="Minute",C71=Inputs!$B$23),AND(B71="Second",C71=Inputs!$B$24)),1,0)</f>
        <v/>
      </c>
      <c r="L71" s="64">
        <f>K71*H71</f>
        <v/>
      </c>
      <c r="M71" s="64">
        <f>K71*I71</f>
        <v/>
      </c>
      <c r="N71" s="47">
        <f>K71*I71*Inputs!$B$25/3600</f>
        <v/>
      </c>
    </row>
    <row r="72">
      <c r="A72" s="2" t="inlineStr">
        <is>
          <t>M55</t>
        </is>
      </c>
      <c r="B72" s="2" t="inlineStr">
        <is>
          <t>Minute</t>
        </is>
      </c>
      <c r="C72" s="42" t="n">
        <v>55</v>
      </c>
      <c r="D72" s="42">
        <f>IF(B72="Hour",MOD(C72,12)*30,C72*6)</f>
        <v/>
      </c>
      <c r="E72" s="42">
        <f>IF(B72="Hour",0,IF(B72="Minute",1+MOD(C72,5),6+MOD(C72,5)))</f>
        <v/>
      </c>
      <c r="F72" s="42">
        <f>IF(B72="Hour",MOD(C72,12),INT(C72/5))</f>
        <v/>
      </c>
      <c r="G72" s="64">
        <f>INDEX('LED types'!$F$5:$F$7,MATCH($B72,'LED types'!$A$5:$A$7,0))</f>
        <v/>
      </c>
      <c r="H72" s="64">
        <f>INDEX('LED types'!$H$5:$H$7,MATCH($B72,'LED types'!$A$5:$A$7,0))</f>
        <v/>
      </c>
      <c r="I72" s="64">
        <f>INDEX('LED types'!$I$5:$I$7,MATCH($B72,'LED types'!$A$5:$A$7,0))</f>
        <v/>
      </c>
      <c r="J72" s="64">
        <f>INDEX('LED types'!$J$5:$J$7,MATCH($B72,'LED types'!$A$5:$A$7,0))</f>
        <v/>
      </c>
      <c r="K72" s="42">
        <f>IF(OR(AND(B72="Hour",C72=Inputs!$B$22),AND(B72="Minute",C72=Inputs!$B$23),AND(B72="Second",C72=Inputs!$B$24)),1,0)</f>
        <v/>
      </c>
      <c r="L72" s="64">
        <f>K72*H72</f>
        <v/>
      </c>
      <c r="M72" s="64">
        <f>K72*I72</f>
        <v/>
      </c>
      <c r="N72" s="47">
        <f>K72*I72*Inputs!$B$25/3600</f>
        <v/>
      </c>
    </row>
    <row r="73">
      <c r="A73" s="2" t="inlineStr">
        <is>
          <t>M56</t>
        </is>
      </c>
      <c r="B73" s="2" t="inlineStr">
        <is>
          <t>Minute</t>
        </is>
      </c>
      <c r="C73" s="42" t="n">
        <v>56</v>
      </c>
      <c r="D73" s="42">
        <f>IF(B73="Hour",MOD(C73,12)*30,C73*6)</f>
        <v/>
      </c>
      <c r="E73" s="42">
        <f>IF(B73="Hour",0,IF(B73="Minute",1+MOD(C73,5),6+MOD(C73,5)))</f>
        <v/>
      </c>
      <c r="F73" s="42">
        <f>IF(B73="Hour",MOD(C73,12),INT(C73/5))</f>
        <v/>
      </c>
      <c r="G73" s="64">
        <f>INDEX('LED types'!$F$5:$F$7,MATCH($B73,'LED types'!$A$5:$A$7,0))</f>
        <v/>
      </c>
      <c r="H73" s="64">
        <f>INDEX('LED types'!$H$5:$H$7,MATCH($B73,'LED types'!$A$5:$A$7,0))</f>
        <v/>
      </c>
      <c r="I73" s="64">
        <f>INDEX('LED types'!$I$5:$I$7,MATCH($B73,'LED types'!$A$5:$A$7,0))</f>
        <v/>
      </c>
      <c r="J73" s="64">
        <f>INDEX('LED types'!$J$5:$J$7,MATCH($B73,'LED types'!$A$5:$A$7,0))</f>
        <v/>
      </c>
      <c r="K73" s="42">
        <f>IF(OR(AND(B73="Hour",C73=Inputs!$B$22),AND(B73="Minute",C73=Inputs!$B$23),AND(B73="Second",C73=Inputs!$B$24)),1,0)</f>
        <v/>
      </c>
      <c r="L73" s="64">
        <f>K73*H73</f>
        <v/>
      </c>
      <c r="M73" s="64">
        <f>K73*I73</f>
        <v/>
      </c>
      <c r="N73" s="47">
        <f>K73*I73*Inputs!$B$25/3600</f>
        <v/>
      </c>
    </row>
    <row r="74">
      <c r="A74" s="2" t="inlineStr">
        <is>
          <t>M57</t>
        </is>
      </c>
      <c r="B74" s="2" t="inlineStr">
        <is>
          <t>Minute</t>
        </is>
      </c>
      <c r="C74" s="42" t="n">
        <v>57</v>
      </c>
      <c r="D74" s="42">
        <f>IF(B74="Hour",MOD(C74,12)*30,C74*6)</f>
        <v/>
      </c>
      <c r="E74" s="42">
        <f>IF(B74="Hour",0,IF(B74="Minute",1+MOD(C74,5),6+MOD(C74,5)))</f>
        <v/>
      </c>
      <c r="F74" s="42">
        <f>IF(B74="Hour",MOD(C74,12),INT(C74/5))</f>
        <v/>
      </c>
      <c r="G74" s="64">
        <f>INDEX('LED types'!$F$5:$F$7,MATCH($B74,'LED types'!$A$5:$A$7,0))</f>
        <v/>
      </c>
      <c r="H74" s="64">
        <f>INDEX('LED types'!$H$5:$H$7,MATCH($B74,'LED types'!$A$5:$A$7,0))</f>
        <v/>
      </c>
      <c r="I74" s="64">
        <f>INDEX('LED types'!$I$5:$I$7,MATCH($B74,'LED types'!$A$5:$A$7,0))</f>
        <v/>
      </c>
      <c r="J74" s="64">
        <f>INDEX('LED types'!$J$5:$J$7,MATCH($B74,'LED types'!$A$5:$A$7,0))</f>
        <v/>
      </c>
      <c r="K74" s="42">
        <f>IF(OR(AND(B74="Hour",C74=Inputs!$B$22),AND(B74="Minute",C74=Inputs!$B$23),AND(B74="Second",C74=Inputs!$B$24)),1,0)</f>
        <v/>
      </c>
      <c r="L74" s="64">
        <f>K74*H74</f>
        <v/>
      </c>
      <c r="M74" s="64">
        <f>K74*I74</f>
        <v/>
      </c>
      <c r="N74" s="47">
        <f>K74*I74*Inputs!$B$25/3600</f>
        <v/>
      </c>
    </row>
    <row r="75">
      <c r="A75" s="2" t="inlineStr">
        <is>
          <t>M58</t>
        </is>
      </c>
      <c r="B75" s="2" t="inlineStr">
        <is>
          <t>Minute</t>
        </is>
      </c>
      <c r="C75" s="42" t="n">
        <v>58</v>
      </c>
      <c r="D75" s="42">
        <f>IF(B75="Hour",MOD(C75,12)*30,C75*6)</f>
        <v/>
      </c>
      <c r="E75" s="42">
        <f>IF(B75="Hour",0,IF(B75="Minute",1+MOD(C75,5),6+MOD(C75,5)))</f>
        <v/>
      </c>
      <c r="F75" s="42">
        <f>IF(B75="Hour",MOD(C75,12),INT(C75/5))</f>
        <v/>
      </c>
      <c r="G75" s="64">
        <f>INDEX('LED types'!$F$5:$F$7,MATCH($B75,'LED types'!$A$5:$A$7,0))</f>
        <v/>
      </c>
      <c r="H75" s="64">
        <f>INDEX('LED types'!$H$5:$H$7,MATCH($B75,'LED types'!$A$5:$A$7,0))</f>
        <v/>
      </c>
      <c r="I75" s="64">
        <f>INDEX('LED types'!$I$5:$I$7,MATCH($B75,'LED types'!$A$5:$A$7,0))</f>
        <v/>
      </c>
      <c r="J75" s="64">
        <f>INDEX('LED types'!$J$5:$J$7,MATCH($B75,'LED types'!$A$5:$A$7,0))</f>
        <v/>
      </c>
      <c r="K75" s="42">
        <f>IF(OR(AND(B75="Hour",C75=Inputs!$B$22),AND(B75="Minute",C75=Inputs!$B$23),AND(B75="Second",C75=Inputs!$B$24)),1,0)</f>
        <v/>
      </c>
      <c r="L75" s="64">
        <f>K75*H75</f>
        <v/>
      </c>
      <c r="M75" s="64">
        <f>K75*I75</f>
        <v/>
      </c>
      <c r="N75" s="47">
        <f>K75*I75*Inputs!$B$25/3600</f>
        <v/>
      </c>
    </row>
    <row r="76">
      <c r="A76" s="2" t="inlineStr">
        <is>
          <t>M59</t>
        </is>
      </c>
      <c r="B76" s="2" t="inlineStr">
        <is>
          <t>Minute</t>
        </is>
      </c>
      <c r="C76" s="42" t="n">
        <v>59</v>
      </c>
      <c r="D76" s="42">
        <f>IF(B76="Hour",MOD(C76,12)*30,C76*6)</f>
        <v/>
      </c>
      <c r="E76" s="42">
        <f>IF(B76="Hour",0,IF(B76="Minute",1+MOD(C76,5),6+MOD(C76,5)))</f>
        <v/>
      </c>
      <c r="F76" s="42">
        <f>IF(B76="Hour",MOD(C76,12),INT(C76/5))</f>
        <v/>
      </c>
      <c r="G76" s="64">
        <f>INDEX('LED types'!$F$5:$F$7,MATCH($B76,'LED types'!$A$5:$A$7,0))</f>
        <v/>
      </c>
      <c r="H76" s="64">
        <f>INDEX('LED types'!$H$5:$H$7,MATCH($B76,'LED types'!$A$5:$A$7,0))</f>
        <v/>
      </c>
      <c r="I76" s="64">
        <f>INDEX('LED types'!$I$5:$I$7,MATCH($B76,'LED types'!$A$5:$A$7,0))</f>
        <v/>
      </c>
      <c r="J76" s="64">
        <f>INDEX('LED types'!$J$5:$J$7,MATCH($B76,'LED types'!$A$5:$A$7,0))</f>
        <v/>
      </c>
      <c r="K76" s="42">
        <f>IF(OR(AND(B76="Hour",C76=Inputs!$B$22),AND(B76="Minute",C76=Inputs!$B$23),AND(B76="Second",C76=Inputs!$B$24)),1,0)</f>
        <v/>
      </c>
      <c r="L76" s="64">
        <f>K76*H76</f>
        <v/>
      </c>
      <c r="M76" s="64">
        <f>K76*I76</f>
        <v/>
      </c>
      <c r="N76" s="47">
        <f>K76*I76*Inputs!$B$25/3600</f>
        <v/>
      </c>
    </row>
    <row r="77">
      <c r="A77" s="2" t="inlineStr">
        <is>
          <t>S0</t>
        </is>
      </c>
      <c r="B77" s="2" t="inlineStr">
        <is>
          <t>Second</t>
        </is>
      </c>
      <c r="C77" s="42" t="n">
        <v>0</v>
      </c>
      <c r="D77" s="42">
        <f>IF(B77="Hour",MOD(C77,12)*30,C77*6)</f>
        <v/>
      </c>
      <c r="E77" s="42">
        <f>IF(B77="Hour",0,IF(B77="Minute",1+MOD(C77,5),6+MOD(C77,5)))</f>
        <v/>
      </c>
      <c r="F77" s="42">
        <f>IF(B77="Hour",MOD(C77,12),INT(C77/5))</f>
        <v/>
      </c>
      <c r="G77" s="64">
        <f>INDEX('LED types'!$F$5:$F$7,MATCH($B77,'LED types'!$A$5:$A$7,0))</f>
        <v/>
      </c>
      <c r="H77" s="64">
        <f>INDEX('LED types'!$H$5:$H$7,MATCH($B77,'LED types'!$A$5:$A$7,0))</f>
        <v/>
      </c>
      <c r="I77" s="64">
        <f>INDEX('LED types'!$I$5:$I$7,MATCH($B77,'LED types'!$A$5:$A$7,0))</f>
        <v/>
      </c>
      <c r="J77" s="64">
        <f>INDEX('LED types'!$J$5:$J$7,MATCH($B77,'LED types'!$A$5:$A$7,0))</f>
        <v/>
      </c>
      <c r="K77" s="42">
        <f>IF(OR(AND(B77="Hour",C77=Inputs!$B$22),AND(B77="Minute",C77=Inputs!$B$23),AND(B77="Second",C77=Inputs!$B$24)),1,0)</f>
        <v/>
      </c>
      <c r="L77" s="64">
        <f>K77*H77</f>
        <v/>
      </c>
      <c r="M77" s="64">
        <f>K77*I77</f>
        <v/>
      </c>
      <c r="N77" s="47">
        <f>K77*I77*Inputs!$B$25/3600</f>
        <v/>
      </c>
    </row>
    <row r="78">
      <c r="A78" s="2" t="inlineStr">
        <is>
          <t>S1</t>
        </is>
      </c>
      <c r="B78" s="2" t="inlineStr">
        <is>
          <t>Second</t>
        </is>
      </c>
      <c r="C78" s="42" t="n">
        <v>1</v>
      </c>
      <c r="D78" s="42">
        <f>IF(B78="Hour",MOD(C78,12)*30,C78*6)</f>
        <v/>
      </c>
      <c r="E78" s="42">
        <f>IF(B78="Hour",0,IF(B78="Minute",1+MOD(C78,5),6+MOD(C78,5)))</f>
        <v/>
      </c>
      <c r="F78" s="42">
        <f>IF(B78="Hour",MOD(C78,12),INT(C78/5))</f>
        <v/>
      </c>
      <c r="G78" s="64">
        <f>INDEX('LED types'!$F$5:$F$7,MATCH($B78,'LED types'!$A$5:$A$7,0))</f>
        <v/>
      </c>
      <c r="H78" s="64">
        <f>INDEX('LED types'!$H$5:$H$7,MATCH($B78,'LED types'!$A$5:$A$7,0))</f>
        <v/>
      </c>
      <c r="I78" s="64">
        <f>INDEX('LED types'!$I$5:$I$7,MATCH($B78,'LED types'!$A$5:$A$7,0))</f>
        <v/>
      </c>
      <c r="J78" s="64">
        <f>INDEX('LED types'!$J$5:$J$7,MATCH($B78,'LED types'!$A$5:$A$7,0))</f>
        <v/>
      </c>
      <c r="K78" s="42">
        <f>IF(OR(AND(B78="Hour",C78=Inputs!$B$22),AND(B78="Minute",C78=Inputs!$B$23),AND(B78="Second",C78=Inputs!$B$24)),1,0)</f>
        <v/>
      </c>
      <c r="L78" s="64">
        <f>K78*H78</f>
        <v/>
      </c>
      <c r="M78" s="64">
        <f>K78*I78</f>
        <v/>
      </c>
      <c r="N78" s="47">
        <f>K78*I78*Inputs!$B$25/3600</f>
        <v/>
      </c>
    </row>
    <row r="79">
      <c r="A79" s="2" t="inlineStr">
        <is>
          <t>S2</t>
        </is>
      </c>
      <c r="B79" s="2" t="inlineStr">
        <is>
          <t>Second</t>
        </is>
      </c>
      <c r="C79" s="42" t="n">
        <v>2</v>
      </c>
      <c r="D79" s="42">
        <f>IF(B79="Hour",MOD(C79,12)*30,C79*6)</f>
        <v/>
      </c>
      <c r="E79" s="42">
        <f>IF(B79="Hour",0,IF(B79="Minute",1+MOD(C79,5),6+MOD(C79,5)))</f>
        <v/>
      </c>
      <c r="F79" s="42">
        <f>IF(B79="Hour",MOD(C79,12),INT(C79/5))</f>
        <v/>
      </c>
      <c r="G79" s="64">
        <f>INDEX('LED types'!$F$5:$F$7,MATCH($B79,'LED types'!$A$5:$A$7,0))</f>
        <v/>
      </c>
      <c r="H79" s="64">
        <f>INDEX('LED types'!$H$5:$H$7,MATCH($B79,'LED types'!$A$5:$A$7,0))</f>
        <v/>
      </c>
      <c r="I79" s="64">
        <f>INDEX('LED types'!$I$5:$I$7,MATCH($B79,'LED types'!$A$5:$A$7,0))</f>
        <v/>
      </c>
      <c r="J79" s="64">
        <f>INDEX('LED types'!$J$5:$J$7,MATCH($B79,'LED types'!$A$5:$A$7,0))</f>
        <v/>
      </c>
      <c r="K79" s="42">
        <f>IF(OR(AND(B79="Hour",C79=Inputs!$B$22),AND(B79="Minute",C79=Inputs!$B$23),AND(B79="Second",C79=Inputs!$B$24)),1,0)</f>
        <v/>
      </c>
      <c r="L79" s="64">
        <f>K79*H79</f>
        <v/>
      </c>
      <c r="M79" s="64">
        <f>K79*I79</f>
        <v/>
      </c>
      <c r="N79" s="47">
        <f>K79*I79*Inputs!$B$25/3600</f>
        <v/>
      </c>
    </row>
    <row r="80">
      <c r="A80" s="2" t="inlineStr">
        <is>
          <t>S3</t>
        </is>
      </c>
      <c r="B80" s="2" t="inlineStr">
        <is>
          <t>Second</t>
        </is>
      </c>
      <c r="C80" s="42" t="n">
        <v>3</v>
      </c>
      <c r="D80" s="42">
        <f>IF(B80="Hour",MOD(C80,12)*30,C80*6)</f>
        <v/>
      </c>
      <c r="E80" s="42">
        <f>IF(B80="Hour",0,IF(B80="Minute",1+MOD(C80,5),6+MOD(C80,5)))</f>
        <v/>
      </c>
      <c r="F80" s="42">
        <f>IF(B80="Hour",MOD(C80,12),INT(C80/5))</f>
        <v/>
      </c>
      <c r="G80" s="64">
        <f>INDEX('LED types'!$F$5:$F$7,MATCH($B80,'LED types'!$A$5:$A$7,0))</f>
        <v/>
      </c>
      <c r="H80" s="64">
        <f>INDEX('LED types'!$H$5:$H$7,MATCH($B80,'LED types'!$A$5:$A$7,0))</f>
        <v/>
      </c>
      <c r="I80" s="64">
        <f>INDEX('LED types'!$I$5:$I$7,MATCH($B80,'LED types'!$A$5:$A$7,0))</f>
        <v/>
      </c>
      <c r="J80" s="64">
        <f>INDEX('LED types'!$J$5:$J$7,MATCH($B80,'LED types'!$A$5:$A$7,0))</f>
        <v/>
      </c>
      <c r="K80" s="42">
        <f>IF(OR(AND(B80="Hour",C80=Inputs!$B$22),AND(B80="Minute",C80=Inputs!$B$23),AND(B80="Second",C80=Inputs!$B$24)),1,0)</f>
        <v/>
      </c>
      <c r="L80" s="64">
        <f>K80*H80</f>
        <v/>
      </c>
      <c r="M80" s="64">
        <f>K80*I80</f>
        <v/>
      </c>
      <c r="N80" s="47">
        <f>K80*I80*Inputs!$B$25/3600</f>
        <v/>
      </c>
    </row>
    <row r="81">
      <c r="A81" s="2" t="inlineStr">
        <is>
          <t>S4</t>
        </is>
      </c>
      <c r="B81" s="2" t="inlineStr">
        <is>
          <t>Second</t>
        </is>
      </c>
      <c r="C81" s="42" t="n">
        <v>4</v>
      </c>
      <c r="D81" s="42">
        <f>IF(B81="Hour",MOD(C81,12)*30,C81*6)</f>
        <v/>
      </c>
      <c r="E81" s="42">
        <f>IF(B81="Hour",0,IF(B81="Minute",1+MOD(C81,5),6+MOD(C81,5)))</f>
        <v/>
      </c>
      <c r="F81" s="42">
        <f>IF(B81="Hour",MOD(C81,12),INT(C81/5))</f>
        <v/>
      </c>
      <c r="G81" s="64">
        <f>INDEX('LED types'!$F$5:$F$7,MATCH($B81,'LED types'!$A$5:$A$7,0))</f>
        <v/>
      </c>
      <c r="H81" s="64">
        <f>INDEX('LED types'!$H$5:$H$7,MATCH($B81,'LED types'!$A$5:$A$7,0))</f>
        <v/>
      </c>
      <c r="I81" s="64">
        <f>INDEX('LED types'!$I$5:$I$7,MATCH($B81,'LED types'!$A$5:$A$7,0))</f>
        <v/>
      </c>
      <c r="J81" s="64">
        <f>INDEX('LED types'!$J$5:$J$7,MATCH($B81,'LED types'!$A$5:$A$7,0))</f>
        <v/>
      </c>
      <c r="K81" s="42">
        <f>IF(OR(AND(B81="Hour",C81=Inputs!$B$22),AND(B81="Minute",C81=Inputs!$B$23),AND(B81="Second",C81=Inputs!$B$24)),1,0)</f>
        <v/>
      </c>
      <c r="L81" s="64">
        <f>K81*H81</f>
        <v/>
      </c>
      <c r="M81" s="64">
        <f>K81*I81</f>
        <v/>
      </c>
      <c r="N81" s="47">
        <f>K81*I81*Inputs!$B$25/3600</f>
        <v/>
      </c>
    </row>
    <row r="82">
      <c r="A82" s="2" t="inlineStr">
        <is>
          <t>S5</t>
        </is>
      </c>
      <c r="B82" s="2" t="inlineStr">
        <is>
          <t>Second</t>
        </is>
      </c>
      <c r="C82" s="42" t="n">
        <v>5</v>
      </c>
      <c r="D82" s="42">
        <f>IF(B82="Hour",MOD(C82,12)*30,C82*6)</f>
        <v/>
      </c>
      <c r="E82" s="42">
        <f>IF(B82="Hour",0,IF(B82="Minute",1+MOD(C82,5),6+MOD(C82,5)))</f>
        <v/>
      </c>
      <c r="F82" s="42">
        <f>IF(B82="Hour",MOD(C82,12),INT(C82/5))</f>
        <v/>
      </c>
      <c r="G82" s="64">
        <f>INDEX('LED types'!$F$5:$F$7,MATCH($B82,'LED types'!$A$5:$A$7,0))</f>
        <v/>
      </c>
      <c r="H82" s="64">
        <f>INDEX('LED types'!$H$5:$H$7,MATCH($B82,'LED types'!$A$5:$A$7,0))</f>
        <v/>
      </c>
      <c r="I82" s="64">
        <f>INDEX('LED types'!$I$5:$I$7,MATCH($B82,'LED types'!$A$5:$A$7,0))</f>
        <v/>
      </c>
      <c r="J82" s="64">
        <f>INDEX('LED types'!$J$5:$J$7,MATCH($B82,'LED types'!$A$5:$A$7,0))</f>
        <v/>
      </c>
      <c r="K82" s="42">
        <f>IF(OR(AND(B82="Hour",C82=Inputs!$B$22),AND(B82="Minute",C82=Inputs!$B$23),AND(B82="Second",C82=Inputs!$B$24)),1,0)</f>
        <v/>
      </c>
      <c r="L82" s="64">
        <f>K82*H82</f>
        <v/>
      </c>
      <c r="M82" s="64">
        <f>K82*I82</f>
        <v/>
      </c>
      <c r="N82" s="47">
        <f>K82*I82*Inputs!$B$25/3600</f>
        <v/>
      </c>
    </row>
    <row r="83">
      <c r="A83" s="2" t="inlineStr">
        <is>
          <t>S6</t>
        </is>
      </c>
      <c r="B83" s="2" t="inlineStr">
        <is>
          <t>Second</t>
        </is>
      </c>
      <c r="C83" s="42" t="n">
        <v>6</v>
      </c>
      <c r="D83" s="42">
        <f>IF(B83="Hour",MOD(C83,12)*30,C83*6)</f>
        <v/>
      </c>
      <c r="E83" s="42">
        <f>IF(B83="Hour",0,IF(B83="Minute",1+MOD(C83,5),6+MOD(C83,5)))</f>
        <v/>
      </c>
      <c r="F83" s="42">
        <f>IF(B83="Hour",MOD(C83,12),INT(C83/5))</f>
        <v/>
      </c>
      <c r="G83" s="64">
        <f>INDEX('LED types'!$F$5:$F$7,MATCH($B83,'LED types'!$A$5:$A$7,0))</f>
        <v/>
      </c>
      <c r="H83" s="64">
        <f>INDEX('LED types'!$H$5:$H$7,MATCH($B83,'LED types'!$A$5:$A$7,0))</f>
        <v/>
      </c>
      <c r="I83" s="64">
        <f>INDEX('LED types'!$I$5:$I$7,MATCH($B83,'LED types'!$A$5:$A$7,0))</f>
        <v/>
      </c>
      <c r="J83" s="64">
        <f>INDEX('LED types'!$J$5:$J$7,MATCH($B83,'LED types'!$A$5:$A$7,0))</f>
        <v/>
      </c>
      <c r="K83" s="42">
        <f>IF(OR(AND(B83="Hour",C83=Inputs!$B$22),AND(B83="Minute",C83=Inputs!$B$23),AND(B83="Second",C83=Inputs!$B$24)),1,0)</f>
        <v/>
      </c>
      <c r="L83" s="64">
        <f>K83*H83</f>
        <v/>
      </c>
      <c r="M83" s="64">
        <f>K83*I83</f>
        <v/>
      </c>
      <c r="N83" s="47">
        <f>K83*I83*Inputs!$B$25/3600</f>
        <v/>
      </c>
    </row>
    <row r="84">
      <c r="A84" s="2" t="inlineStr">
        <is>
          <t>S7</t>
        </is>
      </c>
      <c r="B84" s="2" t="inlineStr">
        <is>
          <t>Second</t>
        </is>
      </c>
      <c r="C84" s="42" t="n">
        <v>7</v>
      </c>
      <c r="D84" s="42">
        <f>IF(B84="Hour",MOD(C84,12)*30,C84*6)</f>
        <v/>
      </c>
      <c r="E84" s="42">
        <f>IF(B84="Hour",0,IF(B84="Minute",1+MOD(C84,5),6+MOD(C84,5)))</f>
        <v/>
      </c>
      <c r="F84" s="42">
        <f>IF(B84="Hour",MOD(C84,12),INT(C84/5))</f>
        <v/>
      </c>
      <c r="G84" s="64">
        <f>INDEX('LED types'!$F$5:$F$7,MATCH($B84,'LED types'!$A$5:$A$7,0))</f>
        <v/>
      </c>
      <c r="H84" s="64">
        <f>INDEX('LED types'!$H$5:$H$7,MATCH($B84,'LED types'!$A$5:$A$7,0))</f>
        <v/>
      </c>
      <c r="I84" s="64">
        <f>INDEX('LED types'!$I$5:$I$7,MATCH($B84,'LED types'!$A$5:$A$7,0))</f>
        <v/>
      </c>
      <c r="J84" s="64">
        <f>INDEX('LED types'!$J$5:$J$7,MATCH($B84,'LED types'!$A$5:$A$7,0))</f>
        <v/>
      </c>
      <c r="K84" s="42">
        <f>IF(OR(AND(B84="Hour",C84=Inputs!$B$22),AND(B84="Minute",C84=Inputs!$B$23),AND(B84="Second",C84=Inputs!$B$24)),1,0)</f>
        <v/>
      </c>
      <c r="L84" s="64">
        <f>K84*H84</f>
        <v/>
      </c>
      <c r="M84" s="64">
        <f>K84*I84</f>
        <v/>
      </c>
      <c r="N84" s="47">
        <f>K84*I84*Inputs!$B$25/3600</f>
        <v/>
      </c>
    </row>
    <row r="85">
      <c r="A85" s="2" t="inlineStr">
        <is>
          <t>S8</t>
        </is>
      </c>
      <c r="B85" s="2" t="inlineStr">
        <is>
          <t>Second</t>
        </is>
      </c>
      <c r="C85" s="42" t="n">
        <v>8</v>
      </c>
      <c r="D85" s="42">
        <f>IF(B85="Hour",MOD(C85,12)*30,C85*6)</f>
        <v/>
      </c>
      <c r="E85" s="42">
        <f>IF(B85="Hour",0,IF(B85="Minute",1+MOD(C85,5),6+MOD(C85,5)))</f>
        <v/>
      </c>
      <c r="F85" s="42">
        <f>IF(B85="Hour",MOD(C85,12),INT(C85/5))</f>
        <v/>
      </c>
      <c r="G85" s="64">
        <f>INDEX('LED types'!$F$5:$F$7,MATCH($B85,'LED types'!$A$5:$A$7,0))</f>
        <v/>
      </c>
      <c r="H85" s="64">
        <f>INDEX('LED types'!$H$5:$H$7,MATCH($B85,'LED types'!$A$5:$A$7,0))</f>
        <v/>
      </c>
      <c r="I85" s="64">
        <f>INDEX('LED types'!$I$5:$I$7,MATCH($B85,'LED types'!$A$5:$A$7,0))</f>
        <v/>
      </c>
      <c r="J85" s="64">
        <f>INDEX('LED types'!$J$5:$J$7,MATCH($B85,'LED types'!$A$5:$A$7,0))</f>
        <v/>
      </c>
      <c r="K85" s="42">
        <f>IF(OR(AND(B85="Hour",C85=Inputs!$B$22),AND(B85="Minute",C85=Inputs!$B$23),AND(B85="Second",C85=Inputs!$B$24)),1,0)</f>
        <v/>
      </c>
      <c r="L85" s="64">
        <f>K85*H85</f>
        <v/>
      </c>
      <c r="M85" s="64">
        <f>K85*I85</f>
        <v/>
      </c>
      <c r="N85" s="47">
        <f>K85*I85*Inputs!$B$25/3600</f>
        <v/>
      </c>
    </row>
    <row r="86">
      <c r="A86" s="2" t="inlineStr">
        <is>
          <t>S9</t>
        </is>
      </c>
      <c r="B86" s="2" t="inlineStr">
        <is>
          <t>Second</t>
        </is>
      </c>
      <c r="C86" s="42" t="n">
        <v>9</v>
      </c>
      <c r="D86" s="42">
        <f>IF(B86="Hour",MOD(C86,12)*30,C86*6)</f>
        <v/>
      </c>
      <c r="E86" s="42">
        <f>IF(B86="Hour",0,IF(B86="Minute",1+MOD(C86,5),6+MOD(C86,5)))</f>
        <v/>
      </c>
      <c r="F86" s="42">
        <f>IF(B86="Hour",MOD(C86,12),INT(C86/5))</f>
        <v/>
      </c>
      <c r="G86" s="64">
        <f>INDEX('LED types'!$F$5:$F$7,MATCH($B86,'LED types'!$A$5:$A$7,0))</f>
        <v/>
      </c>
      <c r="H86" s="64">
        <f>INDEX('LED types'!$H$5:$H$7,MATCH($B86,'LED types'!$A$5:$A$7,0))</f>
        <v/>
      </c>
      <c r="I86" s="64">
        <f>INDEX('LED types'!$I$5:$I$7,MATCH($B86,'LED types'!$A$5:$A$7,0))</f>
        <v/>
      </c>
      <c r="J86" s="64">
        <f>INDEX('LED types'!$J$5:$J$7,MATCH($B86,'LED types'!$A$5:$A$7,0))</f>
        <v/>
      </c>
      <c r="K86" s="42">
        <f>IF(OR(AND(B86="Hour",C86=Inputs!$B$22),AND(B86="Minute",C86=Inputs!$B$23),AND(B86="Second",C86=Inputs!$B$24)),1,0)</f>
        <v/>
      </c>
      <c r="L86" s="64">
        <f>K86*H86</f>
        <v/>
      </c>
      <c r="M86" s="64">
        <f>K86*I86</f>
        <v/>
      </c>
      <c r="N86" s="47">
        <f>K86*I86*Inputs!$B$25/3600</f>
        <v/>
      </c>
    </row>
    <row r="87">
      <c r="A87" s="2" t="inlineStr">
        <is>
          <t>S10</t>
        </is>
      </c>
      <c r="B87" s="2" t="inlineStr">
        <is>
          <t>Second</t>
        </is>
      </c>
      <c r="C87" s="42" t="n">
        <v>10</v>
      </c>
      <c r="D87" s="42">
        <f>IF(B87="Hour",MOD(C87,12)*30,C87*6)</f>
        <v/>
      </c>
      <c r="E87" s="42">
        <f>IF(B87="Hour",0,IF(B87="Minute",1+MOD(C87,5),6+MOD(C87,5)))</f>
        <v/>
      </c>
      <c r="F87" s="42">
        <f>IF(B87="Hour",MOD(C87,12),INT(C87/5))</f>
        <v/>
      </c>
      <c r="G87" s="64">
        <f>INDEX('LED types'!$F$5:$F$7,MATCH($B87,'LED types'!$A$5:$A$7,0))</f>
        <v/>
      </c>
      <c r="H87" s="64">
        <f>INDEX('LED types'!$H$5:$H$7,MATCH($B87,'LED types'!$A$5:$A$7,0))</f>
        <v/>
      </c>
      <c r="I87" s="64">
        <f>INDEX('LED types'!$I$5:$I$7,MATCH($B87,'LED types'!$A$5:$A$7,0))</f>
        <v/>
      </c>
      <c r="J87" s="64">
        <f>INDEX('LED types'!$J$5:$J$7,MATCH($B87,'LED types'!$A$5:$A$7,0))</f>
        <v/>
      </c>
      <c r="K87" s="42">
        <f>IF(OR(AND(B87="Hour",C87=Inputs!$B$22),AND(B87="Minute",C87=Inputs!$B$23),AND(B87="Second",C87=Inputs!$B$24)),1,0)</f>
        <v/>
      </c>
      <c r="L87" s="64">
        <f>K87*H87</f>
        <v/>
      </c>
      <c r="M87" s="64">
        <f>K87*I87</f>
        <v/>
      </c>
      <c r="N87" s="47">
        <f>K87*I87*Inputs!$B$25/3600</f>
        <v/>
      </c>
    </row>
    <row r="88">
      <c r="A88" s="2" t="inlineStr">
        <is>
          <t>S11</t>
        </is>
      </c>
      <c r="B88" s="2" t="inlineStr">
        <is>
          <t>Second</t>
        </is>
      </c>
      <c r="C88" s="42" t="n">
        <v>11</v>
      </c>
      <c r="D88" s="42">
        <f>IF(B88="Hour",MOD(C88,12)*30,C88*6)</f>
        <v/>
      </c>
      <c r="E88" s="42">
        <f>IF(B88="Hour",0,IF(B88="Minute",1+MOD(C88,5),6+MOD(C88,5)))</f>
        <v/>
      </c>
      <c r="F88" s="42">
        <f>IF(B88="Hour",MOD(C88,12),INT(C88/5))</f>
        <v/>
      </c>
      <c r="G88" s="64">
        <f>INDEX('LED types'!$F$5:$F$7,MATCH($B88,'LED types'!$A$5:$A$7,0))</f>
        <v/>
      </c>
      <c r="H88" s="64">
        <f>INDEX('LED types'!$H$5:$H$7,MATCH($B88,'LED types'!$A$5:$A$7,0))</f>
        <v/>
      </c>
      <c r="I88" s="64">
        <f>INDEX('LED types'!$I$5:$I$7,MATCH($B88,'LED types'!$A$5:$A$7,0))</f>
        <v/>
      </c>
      <c r="J88" s="64">
        <f>INDEX('LED types'!$J$5:$J$7,MATCH($B88,'LED types'!$A$5:$A$7,0))</f>
        <v/>
      </c>
      <c r="K88" s="42">
        <f>IF(OR(AND(B88="Hour",C88=Inputs!$B$22),AND(B88="Minute",C88=Inputs!$B$23),AND(B88="Second",C88=Inputs!$B$24)),1,0)</f>
        <v/>
      </c>
      <c r="L88" s="64">
        <f>K88*H88</f>
        <v/>
      </c>
      <c r="M88" s="64">
        <f>K88*I88</f>
        <v/>
      </c>
      <c r="N88" s="47">
        <f>K88*I88*Inputs!$B$25/3600</f>
        <v/>
      </c>
    </row>
    <row r="89">
      <c r="A89" s="2" t="inlineStr">
        <is>
          <t>S12</t>
        </is>
      </c>
      <c r="B89" s="2" t="inlineStr">
        <is>
          <t>Second</t>
        </is>
      </c>
      <c r="C89" s="42" t="n">
        <v>12</v>
      </c>
      <c r="D89" s="42">
        <f>IF(B89="Hour",MOD(C89,12)*30,C89*6)</f>
        <v/>
      </c>
      <c r="E89" s="42">
        <f>IF(B89="Hour",0,IF(B89="Minute",1+MOD(C89,5),6+MOD(C89,5)))</f>
        <v/>
      </c>
      <c r="F89" s="42">
        <f>IF(B89="Hour",MOD(C89,12),INT(C89/5))</f>
        <v/>
      </c>
      <c r="G89" s="64">
        <f>INDEX('LED types'!$F$5:$F$7,MATCH($B89,'LED types'!$A$5:$A$7,0))</f>
        <v/>
      </c>
      <c r="H89" s="64">
        <f>INDEX('LED types'!$H$5:$H$7,MATCH($B89,'LED types'!$A$5:$A$7,0))</f>
        <v/>
      </c>
      <c r="I89" s="64">
        <f>INDEX('LED types'!$I$5:$I$7,MATCH($B89,'LED types'!$A$5:$A$7,0))</f>
        <v/>
      </c>
      <c r="J89" s="64">
        <f>INDEX('LED types'!$J$5:$J$7,MATCH($B89,'LED types'!$A$5:$A$7,0))</f>
        <v/>
      </c>
      <c r="K89" s="42">
        <f>IF(OR(AND(B89="Hour",C89=Inputs!$B$22),AND(B89="Minute",C89=Inputs!$B$23),AND(B89="Second",C89=Inputs!$B$24)),1,0)</f>
        <v/>
      </c>
      <c r="L89" s="64">
        <f>K89*H89</f>
        <v/>
      </c>
      <c r="M89" s="64">
        <f>K89*I89</f>
        <v/>
      </c>
      <c r="N89" s="47">
        <f>K89*I89*Inputs!$B$25/3600</f>
        <v/>
      </c>
    </row>
    <row r="90">
      <c r="A90" s="2" t="inlineStr">
        <is>
          <t>S13</t>
        </is>
      </c>
      <c r="B90" s="2" t="inlineStr">
        <is>
          <t>Second</t>
        </is>
      </c>
      <c r="C90" s="42" t="n">
        <v>13</v>
      </c>
      <c r="D90" s="42">
        <f>IF(B90="Hour",MOD(C90,12)*30,C90*6)</f>
        <v/>
      </c>
      <c r="E90" s="42">
        <f>IF(B90="Hour",0,IF(B90="Minute",1+MOD(C90,5),6+MOD(C90,5)))</f>
        <v/>
      </c>
      <c r="F90" s="42">
        <f>IF(B90="Hour",MOD(C90,12),INT(C90/5))</f>
        <v/>
      </c>
      <c r="G90" s="64">
        <f>INDEX('LED types'!$F$5:$F$7,MATCH($B90,'LED types'!$A$5:$A$7,0))</f>
        <v/>
      </c>
      <c r="H90" s="64">
        <f>INDEX('LED types'!$H$5:$H$7,MATCH($B90,'LED types'!$A$5:$A$7,0))</f>
        <v/>
      </c>
      <c r="I90" s="64">
        <f>INDEX('LED types'!$I$5:$I$7,MATCH($B90,'LED types'!$A$5:$A$7,0))</f>
        <v/>
      </c>
      <c r="J90" s="64">
        <f>INDEX('LED types'!$J$5:$J$7,MATCH($B90,'LED types'!$A$5:$A$7,0))</f>
        <v/>
      </c>
      <c r="K90" s="42">
        <f>IF(OR(AND(B90="Hour",C90=Inputs!$B$22),AND(B90="Minute",C90=Inputs!$B$23),AND(B90="Second",C90=Inputs!$B$24)),1,0)</f>
        <v/>
      </c>
      <c r="L90" s="64">
        <f>K90*H90</f>
        <v/>
      </c>
      <c r="M90" s="64">
        <f>K90*I90</f>
        <v/>
      </c>
      <c r="N90" s="47">
        <f>K90*I90*Inputs!$B$25/3600</f>
        <v/>
      </c>
    </row>
    <row r="91">
      <c r="A91" s="2" t="inlineStr">
        <is>
          <t>S14</t>
        </is>
      </c>
      <c r="B91" s="2" t="inlineStr">
        <is>
          <t>Second</t>
        </is>
      </c>
      <c r="C91" s="42" t="n">
        <v>14</v>
      </c>
      <c r="D91" s="42">
        <f>IF(B91="Hour",MOD(C91,12)*30,C91*6)</f>
        <v/>
      </c>
      <c r="E91" s="42">
        <f>IF(B91="Hour",0,IF(B91="Minute",1+MOD(C91,5),6+MOD(C91,5)))</f>
        <v/>
      </c>
      <c r="F91" s="42">
        <f>IF(B91="Hour",MOD(C91,12),INT(C91/5))</f>
        <v/>
      </c>
      <c r="G91" s="64">
        <f>INDEX('LED types'!$F$5:$F$7,MATCH($B91,'LED types'!$A$5:$A$7,0))</f>
        <v/>
      </c>
      <c r="H91" s="64">
        <f>INDEX('LED types'!$H$5:$H$7,MATCH($B91,'LED types'!$A$5:$A$7,0))</f>
        <v/>
      </c>
      <c r="I91" s="64">
        <f>INDEX('LED types'!$I$5:$I$7,MATCH($B91,'LED types'!$A$5:$A$7,0))</f>
        <v/>
      </c>
      <c r="J91" s="64">
        <f>INDEX('LED types'!$J$5:$J$7,MATCH($B91,'LED types'!$A$5:$A$7,0))</f>
        <v/>
      </c>
      <c r="K91" s="42">
        <f>IF(OR(AND(B91="Hour",C91=Inputs!$B$22),AND(B91="Minute",C91=Inputs!$B$23),AND(B91="Second",C91=Inputs!$B$24)),1,0)</f>
        <v/>
      </c>
      <c r="L91" s="64">
        <f>K91*H91</f>
        <v/>
      </c>
      <c r="M91" s="64">
        <f>K91*I91</f>
        <v/>
      </c>
      <c r="N91" s="47">
        <f>K91*I91*Inputs!$B$25/3600</f>
        <v/>
      </c>
    </row>
    <row r="92">
      <c r="A92" s="2" t="inlineStr">
        <is>
          <t>S15</t>
        </is>
      </c>
      <c r="B92" s="2" t="inlineStr">
        <is>
          <t>Second</t>
        </is>
      </c>
      <c r="C92" s="42" t="n">
        <v>15</v>
      </c>
      <c r="D92" s="42">
        <f>IF(B92="Hour",MOD(C92,12)*30,C92*6)</f>
        <v/>
      </c>
      <c r="E92" s="42">
        <f>IF(B92="Hour",0,IF(B92="Minute",1+MOD(C92,5),6+MOD(C92,5)))</f>
        <v/>
      </c>
      <c r="F92" s="42">
        <f>IF(B92="Hour",MOD(C92,12),INT(C92/5))</f>
        <v/>
      </c>
      <c r="G92" s="64">
        <f>INDEX('LED types'!$F$5:$F$7,MATCH($B92,'LED types'!$A$5:$A$7,0))</f>
        <v/>
      </c>
      <c r="H92" s="64">
        <f>INDEX('LED types'!$H$5:$H$7,MATCH($B92,'LED types'!$A$5:$A$7,0))</f>
        <v/>
      </c>
      <c r="I92" s="64">
        <f>INDEX('LED types'!$I$5:$I$7,MATCH($B92,'LED types'!$A$5:$A$7,0))</f>
        <v/>
      </c>
      <c r="J92" s="64">
        <f>INDEX('LED types'!$J$5:$J$7,MATCH($B92,'LED types'!$A$5:$A$7,0))</f>
        <v/>
      </c>
      <c r="K92" s="42">
        <f>IF(OR(AND(B92="Hour",C92=Inputs!$B$22),AND(B92="Minute",C92=Inputs!$B$23),AND(B92="Second",C92=Inputs!$B$24)),1,0)</f>
        <v/>
      </c>
      <c r="L92" s="64">
        <f>K92*H92</f>
        <v/>
      </c>
      <c r="M92" s="64">
        <f>K92*I92</f>
        <v/>
      </c>
      <c r="N92" s="47">
        <f>K92*I92*Inputs!$B$25/3600</f>
        <v/>
      </c>
    </row>
    <row r="93">
      <c r="A93" s="2" t="inlineStr">
        <is>
          <t>S16</t>
        </is>
      </c>
      <c r="B93" s="2" t="inlineStr">
        <is>
          <t>Second</t>
        </is>
      </c>
      <c r="C93" s="42" t="n">
        <v>16</v>
      </c>
      <c r="D93" s="42">
        <f>IF(B93="Hour",MOD(C93,12)*30,C93*6)</f>
        <v/>
      </c>
      <c r="E93" s="42">
        <f>IF(B93="Hour",0,IF(B93="Minute",1+MOD(C93,5),6+MOD(C93,5)))</f>
        <v/>
      </c>
      <c r="F93" s="42">
        <f>IF(B93="Hour",MOD(C93,12),INT(C93/5))</f>
        <v/>
      </c>
      <c r="G93" s="64">
        <f>INDEX('LED types'!$F$5:$F$7,MATCH($B93,'LED types'!$A$5:$A$7,0))</f>
        <v/>
      </c>
      <c r="H93" s="64">
        <f>INDEX('LED types'!$H$5:$H$7,MATCH($B93,'LED types'!$A$5:$A$7,0))</f>
        <v/>
      </c>
      <c r="I93" s="64">
        <f>INDEX('LED types'!$I$5:$I$7,MATCH($B93,'LED types'!$A$5:$A$7,0))</f>
        <v/>
      </c>
      <c r="J93" s="64">
        <f>INDEX('LED types'!$J$5:$J$7,MATCH($B93,'LED types'!$A$5:$A$7,0))</f>
        <v/>
      </c>
      <c r="K93" s="42">
        <f>IF(OR(AND(B93="Hour",C93=Inputs!$B$22),AND(B93="Minute",C93=Inputs!$B$23),AND(B93="Second",C93=Inputs!$B$24)),1,0)</f>
        <v/>
      </c>
      <c r="L93" s="64">
        <f>K93*H93</f>
        <v/>
      </c>
      <c r="M93" s="64">
        <f>K93*I93</f>
        <v/>
      </c>
      <c r="N93" s="47">
        <f>K93*I93*Inputs!$B$25/3600</f>
        <v/>
      </c>
    </row>
    <row r="94">
      <c r="A94" s="2" t="inlineStr">
        <is>
          <t>S17</t>
        </is>
      </c>
      <c r="B94" s="2" t="inlineStr">
        <is>
          <t>Second</t>
        </is>
      </c>
      <c r="C94" s="42" t="n">
        <v>17</v>
      </c>
      <c r="D94" s="42">
        <f>IF(B94="Hour",MOD(C94,12)*30,C94*6)</f>
        <v/>
      </c>
      <c r="E94" s="42">
        <f>IF(B94="Hour",0,IF(B94="Minute",1+MOD(C94,5),6+MOD(C94,5)))</f>
        <v/>
      </c>
      <c r="F94" s="42">
        <f>IF(B94="Hour",MOD(C94,12),INT(C94/5))</f>
        <v/>
      </c>
      <c r="G94" s="64">
        <f>INDEX('LED types'!$F$5:$F$7,MATCH($B94,'LED types'!$A$5:$A$7,0))</f>
        <v/>
      </c>
      <c r="H94" s="64">
        <f>INDEX('LED types'!$H$5:$H$7,MATCH($B94,'LED types'!$A$5:$A$7,0))</f>
        <v/>
      </c>
      <c r="I94" s="64">
        <f>INDEX('LED types'!$I$5:$I$7,MATCH($B94,'LED types'!$A$5:$A$7,0))</f>
        <v/>
      </c>
      <c r="J94" s="64">
        <f>INDEX('LED types'!$J$5:$J$7,MATCH($B94,'LED types'!$A$5:$A$7,0))</f>
        <v/>
      </c>
      <c r="K94" s="42">
        <f>IF(OR(AND(B94="Hour",C94=Inputs!$B$22),AND(B94="Minute",C94=Inputs!$B$23),AND(B94="Second",C94=Inputs!$B$24)),1,0)</f>
        <v/>
      </c>
      <c r="L94" s="64">
        <f>K94*H94</f>
        <v/>
      </c>
      <c r="M94" s="64">
        <f>K94*I94</f>
        <v/>
      </c>
      <c r="N94" s="47">
        <f>K94*I94*Inputs!$B$25/3600</f>
        <v/>
      </c>
    </row>
    <row r="95">
      <c r="A95" s="2" t="inlineStr">
        <is>
          <t>S18</t>
        </is>
      </c>
      <c r="B95" s="2" t="inlineStr">
        <is>
          <t>Second</t>
        </is>
      </c>
      <c r="C95" s="42" t="n">
        <v>18</v>
      </c>
      <c r="D95" s="42">
        <f>IF(B95="Hour",MOD(C95,12)*30,C95*6)</f>
        <v/>
      </c>
      <c r="E95" s="42">
        <f>IF(B95="Hour",0,IF(B95="Minute",1+MOD(C95,5),6+MOD(C95,5)))</f>
        <v/>
      </c>
      <c r="F95" s="42">
        <f>IF(B95="Hour",MOD(C95,12),INT(C95/5))</f>
        <v/>
      </c>
      <c r="G95" s="64">
        <f>INDEX('LED types'!$F$5:$F$7,MATCH($B95,'LED types'!$A$5:$A$7,0))</f>
        <v/>
      </c>
      <c r="H95" s="64">
        <f>INDEX('LED types'!$H$5:$H$7,MATCH($B95,'LED types'!$A$5:$A$7,0))</f>
        <v/>
      </c>
      <c r="I95" s="64">
        <f>INDEX('LED types'!$I$5:$I$7,MATCH($B95,'LED types'!$A$5:$A$7,0))</f>
        <v/>
      </c>
      <c r="J95" s="64">
        <f>INDEX('LED types'!$J$5:$J$7,MATCH($B95,'LED types'!$A$5:$A$7,0))</f>
        <v/>
      </c>
      <c r="K95" s="42">
        <f>IF(OR(AND(B95="Hour",C95=Inputs!$B$22),AND(B95="Minute",C95=Inputs!$B$23),AND(B95="Second",C95=Inputs!$B$24)),1,0)</f>
        <v/>
      </c>
      <c r="L95" s="64">
        <f>K95*H95</f>
        <v/>
      </c>
      <c r="M95" s="64">
        <f>K95*I95</f>
        <v/>
      </c>
      <c r="N95" s="47">
        <f>K95*I95*Inputs!$B$25/3600</f>
        <v/>
      </c>
    </row>
    <row r="96">
      <c r="A96" s="2" t="inlineStr">
        <is>
          <t>S19</t>
        </is>
      </c>
      <c r="B96" s="2" t="inlineStr">
        <is>
          <t>Second</t>
        </is>
      </c>
      <c r="C96" s="42" t="n">
        <v>19</v>
      </c>
      <c r="D96" s="42">
        <f>IF(B96="Hour",MOD(C96,12)*30,C96*6)</f>
        <v/>
      </c>
      <c r="E96" s="42">
        <f>IF(B96="Hour",0,IF(B96="Minute",1+MOD(C96,5),6+MOD(C96,5)))</f>
        <v/>
      </c>
      <c r="F96" s="42">
        <f>IF(B96="Hour",MOD(C96,12),INT(C96/5))</f>
        <v/>
      </c>
      <c r="G96" s="64">
        <f>INDEX('LED types'!$F$5:$F$7,MATCH($B96,'LED types'!$A$5:$A$7,0))</f>
        <v/>
      </c>
      <c r="H96" s="64">
        <f>INDEX('LED types'!$H$5:$H$7,MATCH($B96,'LED types'!$A$5:$A$7,0))</f>
        <v/>
      </c>
      <c r="I96" s="64">
        <f>INDEX('LED types'!$I$5:$I$7,MATCH($B96,'LED types'!$A$5:$A$7,0))</f>
        <v/>
      </c>
      <c r="J96" s="64">
        <f>INDEX('LED types'!$J$5:$J$7,MATCH($B96,'LED types'!$A$5:$A$7,0))</f>
        <v/>
      </c>
      <c r="K96" s="42">
        <f>IF(OR(AND(B96="Hour",C96=Inputs!$B$22),AND(B96="Minute",C96=Inputs!$B$23),AND(B96="Second",C96=Inputs!$B$24)),1,0)</f>
        <v/>
      </c>
      <c r="L96" s="64">
        <f>K96*H96</f>
        <v/>
      </c>
      <c r="M96" s="64">
        <f>K96*I96</f>
        <v/>
      </c>
      <c r="N96" s="47">
        <f>K96*I96*Inputs!$B$25/3600</f>
        <v/>
      </c>
    </row>
    <row r="97">
      <c r="A97" s="2" t="inlineStr">
        <is>
          <t>S20</t>
        </is>
      </c>
      <c r="B97" s="2" t="inlineStr">
        <is>
          <t>Second</t>
        </is>
      </c>
      <c r="C97" s="42" t="n">
        <v>20</v>
      </c>
      <c r="D97" s="42">
        <f>IF(B97="Hour",MOD(C97,12)*30,C97*6)</f>
        <v/>
      </c>
      <c r="E97" s="42">
        <f>IF(B97="Hour",0,IF(B97="Minute",1+MOD(C97,5),6+MOD(C97,5)))</f>
        <v/>
      </c>
      <c r="F97" s="42">
        <f>IF(B97="Hour",MOD(C97,12),INT(C97/5))</f>
        <v/>
      </c>
      <c r="G97" s="64">
        <f>INDEX('LED types'!$F$5:$F$7,MATCH($B97,'LED types'!$A$5:$A$7,0))</f>
        <v/>
      </c>
      <c r="H97" s="64">
        <f>INDEX('LED types'!$H$5:$H$7,MATCH($B97,'LED types'!$A$5:$A$7,0))</f>
        <v/>
      </c>
      <c r="I97" s="64">
        <f>INDEX('LED types'!$I$5:$I$7,MATCH($B97,'LED types'!$A$5:$A$7,0))</f>
        <v/>
      </c>
      <c r="J97" s="64">
        <f>INDEX('LED types'!$J$5:$J$7,MATCH($B97,'LED types'!$A$5:$A$7,0))</f>
        <v/>
      </c>
      <c r="K97" s="42">
        <f>IF(OR(AND(B97="Hour",C97=Inputs!$B$22),AND(B97="Minute",C97=Inputs!$B$23),AND(B97="Second",C97=Inputs!$B$24)),1,0)</f>
        <v/>
      </c>
      <c r="L97" s="64">
        <f>K97*H97</f>
        <v/>
      </c>
      <c r="M97" s="64">
        <f>K97*I97</f>
        <v/>
      </c>
      <c r="N97" s="47">
        <f>K97*I97*Inputs!$B$25/3600</f>
        <v/>
      </c>
    </row>
    <row r="98">
      <c r="A98" s="2" t="inlineStr">
        <is>
          <t>S21</t>
        </is>
      </c>
      <c r="B98" s="2" t="inlineStr">
        <is>
          <t>Second</t>
        </is>
      </c>
      <c r="C98" s="42" t="n">
        <v>21</v>
      </c>
      <c r="D98" s="42">
        <f>IF(B98="Hour",MOD(C98,12)*30,C98*6)</f>
        <v/>
      </c>
      <c r="E98" s="42">
        <f>IF(B98="Hour",0,IF(B98="Minute",1+MOD(C98,5),6+MOD(C98,5)))</f>
        <v/>
      </c>
      <c r="F98" s="42">
        <f>IF(B98="Hour",MOD(C98,12),INT(C98/5))</f>
        <v/>
      </c>
      <c r="G98" s="64">
        <f>INDEX('LED types'!$F$5:$F$7,MATCH($B98,'LED types'!$A$5:$A$7,0))</f>
        <v/>
      </c>
      <c r="H98" s="64">
        <f>INDEX('LED types'!$H$5:$H$7,MATCH($B98,'LED types'!$A$5:$A$7,0))</f>
        <v/>
      </c>
      <c r="I98" s="64">
        <f>INDEX('LED types'!$I$5:$I$7,MATCH($B98,'LED types'!$A$5:$A$7,0))</f>
        <v/>
      </c>
      <c r="J98" s="64">
        <f>INDEX('LED types'!$J$5:$J$7,MATCH($B98,'LED types'!$A$5:$A$7,0))</f>
        <v/>
      </c>
      <c r="K98" s="42">
        <f>IF(OR(AND(B98="Hour",C98=Inputs!$B$22),AND(B98="Minute",C98=Inputs!$B$23),AND(B98="Second",C98=Inputs!$B$24)),1,0)</f>
        <v/>
      </c>
      <c r="L98" s="64">
        <f>K98*H98</f>
        <v/>
      </c>
      <c r="M98" s="64">
        <f>K98*I98</f>
        <v/>
      </c>
      <c r="N98" s="47">
        <f>K98*I98*Inputs!$B$25/3600</f>
        <v/>
      </c>
    </row>
    <row r="99">
      <c r="A99" s="2" t="inlineStr">
        <is>
          <t>S22</t>
        </is>
      </c>
      <c r="B99" s="2" t="inlineStr">
        <is>
          <t>Second</t>
        </is>
      </c>
      <c r="C99" s="42" t="n">
        <v>22</v>
      </c>
      <c r="D99" s="42">
        <f>IF(B99="Hour",MOD(C99,12)*30,C99*6)</f>
        <v/>
      </c>
      <c r="E99" s="42">
        <f>IF(B99="Hour",0,IF(B99="Minute",1+MOD(C99,5),6+MOD(C99,5)))</f>
        <v/>
      </c>
      <c r="F99" s="42">
        <f>IF(B99="Hour",MOD(C99,12),INT(C99/5))</f>
        <v/>
      </c>
      <c r="G99" s="64">
        <f>INDEX('LED types'!$F$5:$F$7,MATCH($B99,'LED types'!$A$5:$A$7,0))</f>
        <v/>
      </c>
      <c r="H99" s="64">
        <f>INDEX('LED types'!$H$5:$H$7,MATCH($B99,'LED types'!$A$5:$A$7,0))</f>
        <v/>
      </c>
      <c r="I99" s="64">
        <f>INDEX('LED types'!$I$5:$I$7,MATCH($B99,'LED types'!$A$5:$A$7,0))</f>
        <v/>
      </c>
      <c r="J99" s="64">
        <f>INDEX('LED types'!$J$5:$J$7,MATCH($B99,'LED types'!$A$5:$A$7,0))</f>
        <v/>
      </c>
      <c r="K99" s="42">
        <f>IF(OR(AND(B99="Hour",C99=Inputs!$B$22),AND(B99="Minute",C99=Inputs!$B$23),AND(B99="Second",C99=Inputs!$B$24)),1,0)</f>
        <v/>
      </c>
      <c r="L99" s="64">
        <f>K99*H99</f>
        <v/>
      </c>
      <c r="M99" s="64">
        <f>K99*I99</f>
        <v/>
      </c>
      <c r="N99" s="47">
        <f>K99*I99*Inputs!$B$25/3600</f>
        <v/>
      </c>
    </row>
    <row r="100">
      <c r="A100" s="2" t="inlineStr">
        <is>
          <t>S23</t>
        </is>
      </c>
      <c r="B100" s="2" t="inlineStr">
        <is>
          <t>Second</t>
        </is>
      </c>
      <c r="C100" s="42" t="n">
        <v>23</v>
      </c>
      <c r="D100" s="42">
        <f>IF(B100="Hour",MOD(C100,12)*30,C100*6)</f>
        <v/>
      </c>
      <c r="E100" s="42">
        <f>IF(B100="Hour",0,IF(B100="Minute",1+MOD(C100,5),6+MOD(C100,5)))</f>
        <v/>
      </c>
      <c r="F100" s="42">
        <f>IF(B100="Hour",MOD(C100,12),INT(C100/5))</f>
        <v/>
      </c>
      <c r="G100" s="64">
        <f>INDEX('LED types'!$F$5:$F$7,MATCH($B100,'LED types'!$A$5:$A$7,0))</f>
        <v/>
      </c>
      <c r="H100" s="64">
        <f>INDEX('LED types'!$H$5:$H$7,MATCH($B100,'LED types'!$A$5:$A$7,0))</f>
        <v/>
      </c>
      <c r="I100" s="64">
        <f>INDEX('LED types'!$I$5:$I$7,MATCH($B100,'LED types'!$A$5:$A$7,0))</f>
        <v/>
      </c>
      <c r="J100" s="64">
        <f>INDEX('LED types'!$J$5:$J$7,MATCH($B100,'LED types'!$A$5:$A$7,0))</f>
        <v/>
      </c>
      <c r="K100" s="42">
        <f>IF(OR(AND(B100="Hour",C100=Inputs!$B$22),AND(B100="Minute",C100=Inputs!$B$23),AND(B100="Second",C100=Inputs!$B$24)),1,0)</f>
        <v/>
      </c>
      <c r="L100" s="64">
        <f>K100*H100</f>
        <v/>
      </c>
      <c r="M100" s="64">
        <f>K100*I100</f>
        <v/>
      </c>
      <c r="N100" s="47">
        <f>K100*I100*Inputs!$B$25/3600</f>
        <v/>
      </c>
    </row>
    <row r="101">
      <c r="A101" s="2" t="inlineStr">
        <is>
          <t>S24</t>
        </is>
      </c>
      <c r="B101" s="2" t="inlineStr">
        <is>
          <t>Second</t>
        </is>
      </c>
      <c r="C101" s="42" t="n">
        <v>24</v>
      </c>
      <c r="D101" s="42">
        <f>IF(B101="Hour",MOD(C101,12)*30,C101*6)</f>
        <v/>
      </c>
      <c r="E101" s="42">
        <f>IF(B101="Hour",0,IF(B101="Minute",1+MOD(C101,5),6+MOD(C101,5)))</f>
        <v/>
      </c>
      <c r="F101" s="42">
        <f>IF(B101="Hour",MOD(C101,12),INT(C101/5))</f>
        <v/>
      </c>
      <c r="G101" s="64">
        <f>INDEX('LED types'!$F$5:$F$7,MATCH($B101,'LED types'!$A$5:$A$7,0))</f>
        <v/>
      </c>
      <c r="H101" s="64">
        <f>INDEX('LED types'!$H$5:$H$7,MATCH($B101,'LED types'!$A$5:$A$7,0))</f>
        <v/>
      </c>
      <c r="I101" s="64">
        <f>INDEX('LED types'!$I$5:$I$7,MATCH($B101,'LED types'!$A$5:$A$7,0))</f>
        <v/>
      </c>
      <c r="J101" s="64">
        <f>INDEX('LED types'!$J$5:$J$7,MATCH($B101,'LED types'!$A$5:$A$7,0))</f>
        <v/>
      </c>
      <c r="K101" s="42">
        <f>IF(OR(AND(B101="Hour",C101=Inputs!$B$22),AND(B101="Minute",C101=Inputs!$B$23),AND(B101="Second",C101=Inputs!$B$24)),1,0)</f>
        <v/>
      </c>
      <c r="L101" s="64">
        <f>K101*H101</f>
        <v/>
      </c>
      <c r="M101" s="64">
        <f>K101*I101</f>
        <v/>
      </c>
      <c r="N101" s="47">
        <f>K101*I101*Inputs!$B$25/3600</f>
        <v/>
      </c>
    </row>
    <row r="102">
      <c r="A102" s="2" t="inlineStr">
        <is>
          <t>S25</t>
        </is>
      </c>
      <c r="B102" s="2" t="inlineStr">
        <is>
          <t>Second</t>
        </is>
      </c>
      <c r="C102" s="42" t="n">
        <v>25</v>
      </c>
      <c r="D102" s="42">
        <f>IF(B102="Hour",MOD(C102,12)*30,C102*6)</f>
        <v/>
      </c>
      <c r="E102" s="42">
        <f>IF(B102="Hour",0,IF(B102="Minute",1+MOD(C102,5),6+MOD(C102,5)))</f>
        <v/>
      </c>
      <c r="F102" s="42">
        <f>IF(B102="Hour",MOD(C102,12),INT(C102/5))</f>
        <v/>
      </c>
      <c r="G102" s="64">
        <f>INDEX('LED types'!$F$5:$F$7,MATCH($B102,'LED types'!$A$5:$A$7,0))</f>
        <v/>
      </c>
      <c r="H102" s="64">
        <f>INDEX('LED types'!$H$5:$H$7,MATCH($B102,'LED types'!$A$5:$A$7,0))</f>
        <v/>
      </c>
      <c r="I102" s="64">
        <f>INDEX('LED types'!$I$5:$I$7,MATCH($B102,'LED types'!$A$5:$A$7,0))</f>
        <v/>
      </c>
      <c r="J102" s="64">
        <f>INDEX('LED types'!$J$5:$J$7,MATCH($B102,'LED types'!$A$5:$A$7,0))</f>
        <v/>
      </c>
      <c r="K102" s="42">
        <f>IF(OR(AND(B102="Hour",C102=Inputs!$B$22),AND(B102="Minute",C102=Inputs!$B$23),AND(B102="Second",C102=Inputs!$B$24)),1,0)</f>
        <v/>
      </c>
      <c r="L102" s="64">
        <f>K102*H102</f>
        <v/>
      </c>
      <c r="M102" s="64">
        <f>K102*I102</f>
        <v/>
      </c>
      <c r="N102" s="47">
        <f>K102*I102*Inputs!$B$25/3600</f>
        <v/>
      </c>
    </row>
    <row r="103">
      <c r="A103" s="2" t="inlineStr">
        <is>
          <t>S26</t>
        </is>
      </c>
      <c r="B103" s="2" t="inlineStr">
        <is>
          <t>Second</t>
        </is>
      </c>
      <c r="C103" s="42" t="n">
        <v>26</v>
      </c>
      <c r="D103" s="42">
        <f>IF(B103="Hour",MOD(C103,12)*30,C103*6)</f>
        <v/>
      </c>
      <c r="E103" s="42">
        <f>IF(B103="Hour",0,IF(B103="Minute",1+MOD(C103,5),6+MOD(C103,5)))</f>
        <v/>
      </c>
      <c r="F103" s="42">
        <f>IF(B103="Hour",MOD(C103,12),INT(C103/5))</f>
        <v/>
      </c>
      <c r="G103" s="64">
        <f>INDEX('LED types'!$F$5:$F$7,MATCH($B103,'LED types'!$A$5:$A$7,0))</f>
        <v/>
      </c>
      <c r="H103" s="64">
        <f>INDEX('LED types'!$H$5:$H$7,MATCH($B103,'LED types'!$A$5:$A$7,0))</f>
        <v/>
      </c>
      <c r="I103" s="64">
        <f>INDEX('LED types'!$I$5:$I$7,MATCH($B103,'LED types'!$A$5:$A$7,0))</f>
        <v/>
      </c>
      <c r="J103" s="64">
        <f>INDEX('LED types'!$J$5:$J$7,MATCH($B103,'LED types'!$A$5:$A$7,0))</f>
        <v/>
      </c>
      <c r="K103" s="42">
        <f>IF(OR(AND(B103="Hour",C103=Inputs!$B$22),AND(B103="Minute",C103=Inputs!$B$23),AND(B103="Second",C103=Inputs!$B$24)),1,0)</f>
        <v/>
      </c>
      <c r="L103" s="64">
        <f>K103*H103</f>
        <v/>
      </c>
      <c r="M103" s="64">
        <f>K103*I103</f>
        <v/>
      </c>
      <c r="N103" s="47">
        <f>K103*I103*Inputs!$B$25/3600</f>
        <v/>
      </c>
    </row>
    <row r="104">
      <c r="A104" s="2" t="inlineStr">
        <is>
          <t>S27</t>
        </is>
      </c>
      <c r="B104" s="2" t="inlineStr">
        <is>
          <t>Second</t>
        </is>
      </c>
      <c r="C104" s="42" t="n">
        <v>27</v>
      </c>
      <c r="D104" s="42">
        <f>IF(B104="Hour",MOD(C104,12)*30,C104*6)</f>
        <v/>
      </c>
      <c r="E104" s="42">
        <f>IF(B104="Hour",0,IF(B104="Minute",1+MOD(C104,5),6+MOD(C104,5)))</f>
        <v/>
      </c>
      <c r="F104" s="42">
        <f>IF(B104="Hour",MOD(C104,12),INT(C104/5))</f>
        <v/>
      </c>
      <c r="G104" s="64">
        <f>INDEX('LED types'!$F$5:$F$7,MATCH($B104,'LED types'!$A$5:$A$7,0))</f>
        <v/>
      </c>
      <c r="H104" s="64">
        <f>INDEX('LED types'!$H$5:$H$7,MATCH($B104,'LED types'!$A$5:$A$7,0))</f>
        <v/>
      </c>
      <c r="I104" s="64">
        <f>INDEX('LED types'!$I$5:$I$7,MATCH($B104,'LED types'!$A$5:$A$7,0))</f>
        <v/>
      </c>
      <c r="J104" s="64">
        <f>INDEX('LED types'!$J$5:$J$7,MATCH($B104,'LED types'!$A$5:$A$7,0))</f>
        <v/>
      </c>
      <c r="K104" s="42">
        <f>IF(OR(AND(B104="Hour",C104=Inputs!$B$22),AND(B104="Minute",C104=Inputs!$B$23),AND(B104="Second",C104=Inputs!$B$24)),1,0)</f>
        <v/>
      </c>
      <c r="L104" s="64">
        <f>K104*H104</f>
        <v/>
      </c>
      <c r="M104" s="64">
        <f>K104*I104</f>
        <v/>
      </c>
      <c r="N104" s="47">
        <f>K104*I104*Inputs!$B$25/3600</f>
        <v/>
      </c>
    </row>
    <row r="105">
      <c r="A105" s="2" t="inlineStr">
        <is>
          <t>S28</t>
        </is>
      </c>
      <c r="B105" s="2" t="inlineStr">
        <is>
          <t>Second</t>
        </is>
      </c>
      <c r="C105" s="42" t="n">
        <v>28</v>
      </c>
      <c r="D105" s="42">
        <f>IF(B105="Hour",MOD(C105,12)*30,C105*6)</f>
        <v/>
      </c>
      <c r="E105" s="42">
        <f>IF(B105="Hour",0,IF(B105="Minute",1+MOD(C105,5),6+MOD(C105,5)))</f>
        <v/>
      </c>
      <c r="F105" s="42">
        <f>IF(B105="Hour",MOD(C105,12),INT(C105/5))</f>
        <v/>
      </c>
      <c r="G105" s="64">
        <f>INDEX('LED types'!$F$5:$F$7,MATCH($B105,'LED types'!$A$5:$A$7,0))</f>
        <v/>
      </c>
      <c r="H105" s="64">
        <f>INDEX('LED types'!$H$5:$H$7,MATCH($B105,'LED types'!$A$5:$A$7,0))</f>
        <v/>
      </c>
      <c r="I105" s="64">
        <f>INDEX('LED types'!$I$5:$I$7,MATCH($B105,'LED types'!$A$5:$A$7,0))</f>
        <v/>
      </c>
      <c r="J105" s="64">
        <f>INDEX('LED types'!$J$5:$J$7,MATCH($B105,'LED types'!$A$5:$A$7,0))</f>
        <v/>
      </c>
      <c r="K105" s="42">
        <f>IF(OR(AND(B105="Hour",C105=Inputs!$B$22),AND(B105="Minute",C105=Inputs!$B$23),AND(B105="Second",C105=Inputs!$B$24)),1,0)</f>
        <v/>
      </c>
      <c r="L105" s="64">
        <f>K105*H105</f>
        <v/>
      </c>
      <c r="M105" s="64">
        <f>K105*I105</f>
        <v/>
      </c>
      <c r="N105" s="47">
        <f>K105*I105*Inputs!$B$25/3600</f>
        <v/>
      </c>
    </row>
    <row r="106">
      <c r="A106" s="2" t="inlineStr">
        <is>
          <t>S29</t>
        </is>
      </c>
      <c r="B106" s="2" t="inlineStr">
        <is>
          <t>Second</t>
        </is>
      </c>
      <c r="C106" s="42" t="n">
        <v>29</v>
      </c>
      <c r="D106" s="42">
        <f>IF(B106="Hour",MOD(C106,12)*30,C106*6)</f>
        <v/>
      </c>
      <c r="E106" s="42">
        <f>IF(B106="Hour",0,IF(B106="Minute",1+MOD(C106,5),6+MOD(C106,5)))</f>
        <v/>
      </c>
      <c r="F106" s="42">
        <f>IF(B106="Hour",MOD(C106,12),INT(C106/5))</f>
        <v/>
      </c>
      <c r="G106" s="64">
        <f>INDEX('LED types'!$F$5:$F$7,MATCH($B106,'LED types'!$A$5:$A$7,0))</f>
        <v/>
      </c>
      <c r="H106" s="64">
        <f>INDEX('LED types'!$H$5:$H$7,MATCH($B106,'LED types'!$A$5:$A$7,0))</f>
        <v/>
      </c>
      <c r="I106" s="64">
        <f>INDEX('LED types'!$I$5:$I$7,MATCH($B106,'LED types'!$A$5:$A$7,0))</f>
        <v/>
      </c>
      <c r="J106" s="64">
        <f>INDEX('LED types'!$J$5:$J$7,MATCH($B106,'LED types'!$A$5:$A$7,0))</f>
        <v/>
      </c>
      <c r="K106" s="42">
        <f>IF(OR(AND(B106="Hour",C106=Inputs!$B$22),AND(B106="Minute",C106=Inputs!$B$23),AND(B106="Second",C106=Inputs!$B$24)),1,0)</f>
        <v/>
      </c>
      <c r="L106" s="64">
        <f>K106*H106</f>
        <v/>
      </c>
      <c r="M106" s="64">
        <f>K106*I106</f>
        <v/>
      </c>
      <c r="N106" s="47">
        <f>K106*I106*Inputs!$B$25/3600</f>
        <v/>
      </c>
    </row>
    <row r="107">
      <c r="A107" s="2" t="inlineStr">
        <is>
          <t>S30</t>
        </is>
      </c>
      <c r="B107" s="2" t="inlineStr">
        <is>
          <t>Second</t>
        </is>
      </c>
      <c r="C107" s="42" t="n">
        <v>30</v>
      </c>
      <c r="D107" s="42">
        <f>IF(B107="Hour",MOD(C107,12)*30,C107*6)</f>
        <v/>
      </c>
      <c r="E107" s="42">
        <f>IF(B107="Hour",0,IF(B107="Minute",1+MOD(C107,5),6+MOD(C107,5)))</f>
        <v/>
      </c>
      <c r="F107" s="42">
        <f>IF(B107="Hour",MOD(C107,12),INT(C107/5))</f>
        <v/>
      </c>
      <c r="G107" s="64">
        <f>INDEX('LED types'!$F$5:$F$7,MATCH($B107,'LED types'!$A$5:$A$7,0))</f>
        <v/>
      </c>
      <c r="H107" s="64">
        <f>INDEX('LED types'!$H$5:$H$7,MATCH($B107,'LED types'!$A$5:$A$7,0))</f>
        <v/>
      </c>
      <c r="I107" s="64">
        <f>INDEX('LED types'!$I$5:$I$7,MATCH($B107,'LED types'!$A$5:$A$7,0))</f>
        <v/>
      </c>
      <c r="J107" s="64">
        <f>INDEX('LED types'!$J$5:$J$7,MATCH($B107,'LED types'!$A$5:$A$7,0))</f>
        <v/>
      </c>
      <c r="K107" s="42">
        <f>IF(OR(AND(B107="Hour",C107=Inputs!$B$22),AND(B107="Minute",C107=Inputs!$B$23),AND(B107="Second",C107=Inputs!$B$24)),1,0)</f>
        <v/>
      </c>
      <c r="L107" s="64">
        <f>K107*H107</f>
        <v/>
      </c>
      <c r="M107" s="64">
        <f>K107*I107</f>
        <v/>
      </c>
      <c r="N107" s="47">
        <f>K107*I107*Inputs!$B$25/3600</f>
        <v/>
      </c>
    </row>
    <row r="108">
      <c r="A108" s="2" t="inlineStr">
        <is>
          <t>S31</t>
        </is>
      </c>
      <c r="B108" s="2" t="inlineStr">
        <is>
          <t>Second</t>
        </is>
      </c>
      <c r="C108" s="42" t="n">
        <v>31</v>
      </c>
      <c r="D108" s="42">
        <f>IF(B108="Hour",MOD(C108,12)*30,C108*6)</f>
        <v/>
      </c>
      <c r="E108" s="42">
        <f>IF(B108="Hour",0,IF(B108="Minute",1+MOD(C108,5),6+MOD(C108,5)))</f>
        <v/>
      </c>
      <c r="F108" s="42">
        <f>IF(B108="Hour",MOD(C108,12),INT(C108/5))</f>
        <v/>
      </c>
      <c r="G108" s="64">
        <f>INDEX('LED types'!$F$5:$F$7,MATCH($B108,'LED types'!$A$5:$A$7,0))</f>
        <v/>
      </c>
      <c r="H108" s="64">
        <f>INDEX('LED types'!$H$5:$H$7,MATCH($B108,'LED types'!$A$5:$A$7,0))</f>
        <v/>
      </c>
      <c r="I108" s="64">
        <f>INDEX('LED types'!$I$5:$I$7,MATCH($B108,'LED types'!$A$5:$A$7,0))</f>
        <v/>
      </c>
      <c r="J108" s="64">
        <f>INDEX('LED types'!$J$5:$J$7,MATCH($B108,'LED types'!$A$5:$A$7,0))</f>
        <v/>
      </c>
      <c r="K108" s="42">
        <f>IF(OR(AND(B108="Hour",C108=Inputs!$B$22),AND(B108="Minute",C108=Inputs!$B$23),AND(B108="Second",C108=Inputs!$B$24)),1,0)</f>
        <v/>
      </c>
      <c r="L108" s="64">
        <f>K108*H108</f>
        <v/>
      </c>
      <c r="M108" s="64">
        <f>K108*I108</f>
        <v/>
      </c>
      <c r="N108" s="47">
        <f>K108*I108*Inputs!$B$25/3600</f>
        <v/>
      </c>
    </row>
    <row r="109">
      <c r="A109" s="2" t="inlineStr">
        <is>
          <t>S32</t>
        </is>
      </c>
      <c r="B109" s="2" t="inlineStr">
        <is>
          <t>Second</t>
        </is>
      </c>
      <c r="C109" s="42" t="n">
        <v>32</v>
      </c>
      <c r="D109" s="42">
        <f>IF(B109="Hour",MOD(C109,12)*30,C109*6)</f>
        <v/>
      </c>
      <c r="E109" s="42">
        <f>IF(B109="Hour",0,IF(B109="Minute",1+MOD(C109,5),6+MOD(C109,5)))</f>
        <v/>
      </c>
      <c r="F109" s="42">
        <f>IF(B109="Hour",MOD(C109,12),INT(C109/5))</f>
        <v/>
      </c>
      <c r="G109" s="64">
        <f>INDEX('LED types'!$F$5:$F$7,MATCH($B109,'LED types'!$A$5:$A$7,0))</f>
        <v/>
      </c>
      <c r="H109" s="64">
        <f>INDEX('LED types'!$H$5:$H$7,MATCH($B109,'LED types'!$A$5:$A$7,0))</f>
        <v/>
      </c>
      <c r="I109" s="64">
        <f>INDEX('LED types'!$I$5:$I$7,MATCH($B109,'LED types'!$A$5:$A$7,0))</f>
        <v/>
      </c>
      <c r="J109" s="64">
        <f>INDEX('LED types'!$J$5:$J$7,MATCH($B109,'LED types'!$A$5:$A$7,0))</f>
        <v/>
      </c>
      <c r="K109" s="42">
        <f>IF(OR(AND(B109="Hour",C109=Inputs!$B$22),AND(B109="Minute",C109=Inputs!$B$23),AND(B109="Second",C109=Inputs!$B$24)),1,0)</f>
        <v/>
      </c>
      <c r="L109" s="64">
        <f>K109*H109</f>
        <v/>
      </c>
      <c r="M109" s="64">
        <f>K109*I109</f>
        <v/>
      </c>
      <c r="N109" s="47">
        <f>K109*I109*Inputs!$B$25/3600</f>
        <v/>
      </c>
    </row>
    <row r="110">
      <c r="A110" s="2" t="inlineStr">
        <is>
          <t>S33</t>
        </is>
      </c>
      <c r="B110" s="2" t="inlineStr">
        <is>
          <t>Second</t>
        </is>
      </c>
      <c r="C110" s="42" t="n">
        <v>33</v>
      </c>
      <c r="D110" s="42">
        <f>IF(B110="Hour",MOD(C110,12)*30,C110*6)</f>
        <v/>
      </c>
      <c r="E110" s="42">
        <f>IF(B110="Hour",0,IF(B110="Minute",1+MOD(C110,5),6+MOD(C110,5)))</f>
        <v/>
      </c>
      <c r="F110" s="42">
        <f>IF(B110="Hour",MOD(C110,12),INT(C110/5))</f>
        <v/>
      </c>
      <c r="G110" s="64">
        <f>INDEX('LED types'!$F$5:$F$7,MATCH($B110,'LED types'!$A$5:$A$7,0))</f>
        <v/>
      </c>
      <c r="H110" s="64">
        <f>INDEX('LED types'!$H$5:$H$7,MATCH($B110,'LED types'!$A$5:$A$7,0))</f>
        <v/>
      </c>
      <c r="I110" s="64">
        <f>INDEX('LED types'!$I$5:$I$7,MATCH($B110,'LED types'!$A$5:$A$7,0))</f>
        <v/>
      </c>
      <c r="J110" s="64">
        <f>INDEX('LED types'!$J$5:$J$7,MATCH($B110,'LED types'!$A$5:$A$7,0))</f>
        <v/>
      </c>
      <c r="K110" s="42">
        <f>IF(OR(AND(B110="Hour",C110=Inputs!$B$22),AND(B110="Minute",C110=Inputs!$B$23),AND(B110="Second",C110=Inputs!$B$24)),1,0)</f>
        <v/>
      </c>
      <c r="L110" s="64">
        <f>K110*H110</f>
        <v/>
      </c>
      <c r="M110" s="64">
        <f>K110*I110</f>
        <v/>
      </c>
      <c r="N110" s="47">
        <f>K110*I110*Inputs!$B$25/3600</f>
        <v/>
      </c>
    </row>
    <row r="111">
      <c r="A111" s="2" t="inlineStr">
        <is>
          <t>S34</t>
        </is>
      </c>
      <c r="B111" s="2" t="inlineStr">
        <is>
          <t>Second</t>
        </is>
      </c>
      <c r="C111" s="42" t="n">
        <v>34</v>
      </c>
      <c r="D111" s="42">
        <f>IF(B111="Hour",MOD(C111,12)*30,C111*6)</f>
        <v/>
      </c>
      <c r="E111" s="42">
        <f>IF(B111="Hour",0,IF(B111="Minute",1+MOD(C111,5),6+MOD(C111,5)))</f>
        <v/>
      </c>
      <c r="F111" s="42">
        <f>IF(B111="Hour",MOD(C111,12),INT(C111/5))</f>
        <v/>
      </c>
      <c r="G111" s="64">
        <f>INDEX('LED types'!$F$5:$F$7,MATCH($B111,'LED types'!$A$5:$A$7,0))</f>
        <v/>
      </c>
      <c r="H111" s="64">
        <f>INDEX('LED types'!$H$5:$H$7,MATCH($B111,'LED types'!$A$5:$A$7,0))</f>
        <v/>
      </c>
      <c r="I111" s="64">
        <f>INDEX('LED types'!$I$5:$I$7,MATCH($B111,'LED types'!$A$5:$A$7,0))</f>
        <v/>
      </c>
      <c r="J111" s="64">
        <f>INDEX('LED types'!$J$5:$J$7,MATCH($B111,'LED types'!$A$5:$A$7,0))</f>
        <v/>
      </c>
      <c r="K111" s="42">
        <f>IF(OR(AND(B111="Hour",C111=Inputs!$B$22),AND(B111="Minute",C111=Inputs!$B$23),AND(B111="Second",C111=Inputs!$B$24)),1,0)</f>
        <v/>
      </c>
      <c r="L111" s="64">
        <f>K111*H111</f>
        <v/>
      </c>
      <c r="M111" s="64">
        <f>K111*I111</f>
        <v/>
      </c>
      <c r="N111" s="47">
        <f>K111*I111*Inputs!$B$25/3600</f>
        <v/>
      </c>
    </row>
    <row r="112">
      <c r="A112" s="2" t="inlineStr">
        <is>
          <t>S35</t>
        </is>
      </c>
      <c r="B112" s="2" t="inlineStr">
        <is>
          <t>Second</t>
        </is>
      </c>
      <c r="C112" s="42" t="n">
        <v>35</v>
      </c>
      <c r="D112" s="42">
        <f>IF(B112="Hour",MOD(C112,12)*30,C112*6)</f>
        <v/>
      </c>
      <c r="E112" s="42">
        <f>IF(B112="Hour",0,IF(B112="Minute",1+MOD(C112,5),6+MOD(C112,5)))</f>
        <v/>
      </c>
      <c r="F112" s="42">
        <f>IF(B112="Hour",MOD(C112,12),INT(C112/5))</f>
        <v/>
      </c>
      <c r="G112" s="64">
        <f>INDEX('LED types'!$F$5:$F$7,MATCH($B112,'LED types'!$A$5:$A$7,0))</f>
        <v/>
      </c>
      <c r="H112" s="64">
        <f>INDEX('LED types'!$H$5:$H$7,MATCH($B112,'LED types'!$A$5:$A$7,0))</f>
        <v/>
      </c>
      <c r="I112" s="64">
        <f>INDEX('LED types'!$I$5:$I$7,MATCH($B112,'LED types'!$A$5:$A$7,0))</f>
        <v/>
      </c>
      <c r="J112" s="64">
        <f>INDEX('LED types'!$J$5:$J$7,MATCH($B112,'LED types'!$A$5:$A$7,0))</f>
        <v/>
      </c>
      <c r="K112" s="42">
        <f>IF(OR(AND(B112="Hour",C112=Inputs!$B$22),AND(B112="Minute",C112=Inputs!$B$23),AND(B112="Second",C112=Inputs!$B$24)),1,0)</f>
        <v/>
      </c>
      <c r="L112" s="64">
        <f>K112*H112</f>
        <v/>
      </c>
      <c r="M112" s="64">
        <f>K112*I112</f>
        <v/>
      </c>
      <c r="N112" s="47">
        <f>K112*I112*Inputs!$B$25/3600</f>
        <v/>
      </c>
    </row>
    <row r="113">
      <c r="A113" s="2" t="inlineStr">
        <is>
          <t>S36</t>
        </is>
      </c>
      <c r="B113" s="2" t="inlineStr">
        <is>
          <t>Second</t>
        </is>
      </c>
      <c r="C113" s="42" t="n">
        <v>36</v>
      </c>
      <c r="D113" s="42">
        <f>IF(B113="Hour",MOD(C113,12)*30,C113*6)</f>
        <v/>
      </c>
      <c r="E113" s="42">
        <f>IF(B113="Hour",0,IF(B113="Minute",1+MOD(C113,5),6+MOD(C113,5)))</f>
        <v/>
      </c>
      <c r="F113" s="42">
        <f>IF(B113="Hour",MOD(C113,12),INT(C113/5))</f>
        <v/>
      </c>
      <c r="G113" s="64">
        <f>INDEX('LED types'!$F$5:$F$7,MATCH($B113,'LED types'!$A$5:$A$7,0))</f>
        <v/>
      </c>
      <c r="H113" s="64">
        <f>INDEX('LED types'!$H$5:$H$7,MATCH($B113,'LED types'!$A$5:$A$7,0))</f>
        <v/>
      </c>
      <c r="I113" s="64">
        <f>INDEX('LED types'!$I$5:$I$7,MATCH($B113,'LED types'!$A$5:$A$7,0))</f>
        <v/>
      </c>
      <c r="J113" s="64">
        <f>INDEX('LED types'!$J$5:$J$7,MATCH($B113,'LED types'!$A$5:$A$7,0))</f>
        <v/>
      </c>
      <c r="K113" s="42">
        <f>IF(OR(AND(B113="Hour",C113=Inputs!$B$22),AND(B113="Minute",C113=Inputs!$B$23),AND(B113="Second",C113=Inputs!$B$24)),1,0)</f>
        <v/>
      </c>
      <c r="L113" s="64">
        <f>K113*H113</f>
        <v/>
      </c>
      <c r="M113" s="64">
        <f>K113*I113</f>
        <v/>
      </c>
      <c r="N113" s="47">
        <f>K113*I113*Inputs!$B$25/3600</f>
        <v/>
      </c>
    </row>
    <row r="114">
      <c r="A114" s="2" t="inlineStr">
        <is>
          <t>S37</t>
        </is>
      </c>
      <c r="B114" s="2" t="inlineStr">
        <is>
          <t>Second</t>
        </is>
      </c>
      <c r="C114" s="42" t="n">
        <v>37</v>
      </c>
      <c r="D114" s="42">
        <f>IF(B114="Hour",MOD(C114,12)*30,C114*6)</f>
        <v/>
      </c>
      <c r="E114" s="42">
        <f>IF(B114="Hour",0,IF(B114="Minute",1+MOD(C114,5),6+MOD(C114,5)))</f>
        <v/>
      </c>
      <c r="F114" s="42">
        <f>IF(B114="Hour",MOD(C114,12),INT(C114/5))</f>
        <v/>
      </c>
      <c r="G114" s="64">
        <f>INDEX('LED types'!$F$5:$F$7,MATCH($B114,'LED types'!$A$5:$A$7,0))</f>
        <v/>
      </c>
      <c r="H114" s="64">
        <f>INDEX('LED types'!$H$5:$H$7,MATCH($B114,'LED types'!$A$5:$A$7,0))</f>
        <v/>
      </c>
      <c r="I114" s="64">
        <f>INDEX('LED types'!$I$5:$I$7,MATCH($B114,'LED types'!$A$5:$A$7,0))</f>
        <v/>
      </c>
      <c r="J114" s="64">
        <f>INDEX('LED types'!$J$5:$J$7,MATCH($B114,'LED types'!$A$5:$A$7,0))</f>
        <v/>
      </c>
      <c r="K114" s="42">
        <f>IF(OR(AND(B114="Hour",C114=Inputs!$B$22),AND(B114="Minute",C114=Inputs!$B$23),AND(B114="Second",C114=Inputs!$B$24)),1,0)</f>
        <v/>
      </c>
      <c r="L114" s="64">
        <f>K114*H114</f>
        <v/>
      </c>
      <c r="M114" s="64">
        <f>K114*I114</f>
        <v/>
      </c>
      <c r="N114" s="47">
        <f>K114*I114*Inputs!$B$25/3600</f>
        <v/>
      </c>
    </row>
    <row r="115">
      <c r="A115" s="2" t="inlineStr">
        <is>
          <t>S38</t>
        </is>
      </c>
      <c r="B115" s="2" t="inlineStr">
        <is>
          <t>Second</t>
        </is>
      </c>
      <c r="C115" s="42" t="n">
        <v>38</v>
      </c>
      <c r="D115" s="42">
        <f>IF(B115="Hour",MOD(C115,12)*30,C115*6)</f>
        <v/>
      </c>
      <c r="E115" s="42">
        <f>IF(B115="Hour",0,IF(B115="Minute",1+MOD(C115,5),6+MOD(C115,5)))</f>
        <v/>
      </c>
      <c r="F115" s="42">
        <f>IF(B115="Hour",MOD(C115,12),INT(C115/5))</f>
        <v/>
      </c>
      <c r="G115" s="64">
        <f>INDEX('LED types'!$F$5:$F$7,MATCH($B115,'LED types'!$A$5:$A$7,0))</f>
        <v/>
      </c>
      <c r="H115" s="64">
        <f>INDEX('LED types'!$H$5:$H$7,MATCH($B115,'LED types'!$A$5:$A$7,0))</f>
        <v/>
      </c>
      <c r="I115" s="64">
        <f>INDEX('LED types'!$I$5:$I$7,MATCH($B115,'LED types'!$A$5:$A$7,0))</f>
        <v/>
      </c>
      <c r="J115" s="64">
        <f>INDEX('LED types'!$J$5:$J$7,MATCH($B115,'LED types'!$A$5:$A$7,0))</f>
        <v/>
      </c>
      <c r="K115" s="42">
        <f>IF(OR(AND(B115="Hour",C115=Inputs!$B$22),AND(B115="Minute",C115=Inputs!$B$23),AND(B115="Second",C115=Inputs!$B$24)),1,0)</f>
        <v/>
      </c>
      <c r="L115" s="64">
        <f>K115*H115</f>
        <v/>
      </c>
      <c r="M115" s="64">
        <f>K115*I115</f>
        <v/>
      </c>
      <c r="N115" s="47">
        <f>K115*I115*Inputs!$B$25/3600</f>
        <v/>
      </c>
    </row>
    <row r="116">
      <c r="A116" s="2" t="inlineStr">
        <is>
          <t>S39</t>
        </is>
      </c>
      <c r="B116" s="2" t="inlineStr">
        <is>
          <t>Second</t>
        </is>
      </c>
      <c r="C116" s="42" t="n">
        <v>39</v>
      </c>
      <c r="D116" s="42">
        <f>IF(B116="Hour",MOD(C116,12)*30,C116*6)</f>
        <v/>
      </c>
      <c r="E116" s="42">
        <f>IF(B116="Hour",0,IF(B116="Minute",1+MOD(C116,5),6+MOD(C116,5)))</f>
        <v/>
      </c>
      <c r="F116" s="42">
        <f>IF(B116="Hour",MOD(C116,12),INT(C116/5))</f>
        <v/>
      </c>
      <c r="G116" s="64">
        <f>INDEX('LED types'!$F$5:$F$7,MATCH($B116,'LED types'!$A$5:$A$7,0))</f>
        <v/>
      </c>
      <c r="H116" s="64">
        <f>INDEX('LED types'!$H$5:$H$7,MATCH($B116,'LED types'!$A$5:$A$7,0))</f>
        <v/>
      </c>
      <c r="I116" s="64">
        <f>INDEX('LED types'!$I$5:$I$7,MATCH($B116,'LED types'!$A$5:$A$7,0))</f>
        <v/>
      </c>
      <c r="J116" s="64">
        <f>INDEX('LED types'!$J$5:$J$7,MATCH($B116,'LED types'!$A$5:$A$7,0))</f>
        <v/>
      </c>
      <c r="K116" s="42">
        <f>IF(OR(AND(B116="Hour",C116=Inputs!$B$22),AND(B116="Minute",C116=Inputs!$B$23),AND(B116="Second",C116=Inputs!$B$24)),1,0)</f>
        <v/>
      </c>
      <c r="L116" s="64">
        <f>K116*H116</f>
        <v/>
      </c>
      <c r="M116" s="64">
        <f>K116*I116</f>
        <v/>
      </c>
      <c r="N116" s="47">
        <f>K116*I116*Inputs!$B$25/3600</f>
        <v/>
      </c>
    </row>
    <row r="117">
      <c r="A117" s="2" t="inlineStr">
        <is>
          <t>S40</t>
        </is>
      </c>
      <c r="B117" s="2" t="inlineStr">
        <is>
          <t>Second</t>
        </is>
      </c>
      <c r="C117" s="42" t="n">
        <v>40</v>
      </c>
      <c r="D117" s="42">
        <f>IF(B117="Hour",MOD(C117,12)*30,C117*6)</f>
        <v/>
      </c>
      <c r="E117" s="42">
        <f>IF(B117="Hour",0,IF(B117="Minute",1+MOD(C117,5),6+MOD(C117,5)))</f>
        <v/>
      </c>
      <c r="F117" s="42">
        <f>IF(B117="Hour",MOD(C117,12),INT(C117/5))</f>
        <v/>
      </c>
      <c r="G117" s="64">
        <f>INDEX('LED types'!$F$5:$F$7,MATCH($B117,'LED types'!$A$5:$A$7,0))</f>
        <v/>
      </c>
      <c r="H117" s="64">
        <f>INDEX('LED types'!$H$5:$H$7,MATCH($B117,'LED types'!$A$5:$A$7,0))</f>
        <v/>
      </c>
      <c r="I117" s="64">
        <f>INDEX('LED types'!$I$5:$I$7,MATCH($B117,'LED types'!$A$5:$A$7,0))</f>
        <v/>
      </c>
      <c r="J117" s="64">
        <f>INDEX('LED types'!$J$5:$J$7,MATCH($B117,'LED types'!$A$5:$A$7,0))</f>
        <v/>
      </c>
      <c r="K117" s="42">
        <f>IF(OR(AND(B117="Hour",C117=Inputs!$B$22),AND(B117="Minute",C117=Inputs!$B$23),AND(B117="Second",C117=Inputs!$B$24)),1,0)</f>
        <v/>
      </c>
      <c r="L117" s="64">
        <f>K117*H117</f>
        <v/>
      </c>
      <c r="M117" s="64">
        <f>K117*I117</f>
        <v/>
      </c>
      <c r="N117" s="47">
        <f>K117*I117*Inputs!$B$25/3600</f>
        <v/>
      </c>
    </row>
    <row r="118">
      <c r="A118" s="2" t="inlineStr">
        <is>
          <t>S41</t>
        </is>
      </c>
      <c r="B118" s="2" t="inlineStr">
        <is>
          <t>Second</t>
        </is>
      </c>
      <c r="C118" s="42" t="n">
        <v>41</v>
      </c>
      <c r="D118" s="42">
        <f>IF(B118="Hour",MOD(C118,12)*30,C118*6)</f>
        <v/>
      </c>
      <c r="E118" s="42">
        <f>IF(B118="Hour",0,IF(B118="Minute",1+MOD(C118,5),6+MOD(C118,5)))</f>
        <v/>
      </c>
      <c r="F118" s="42">
        <f>IF(B118="Hour",MOD(C118,12),INT(C118/5))</f>
        <v/>
      </c>
      <c r="G118" s="64">
        <f>INDEX('LED types'!$F$5:$F$7,MATCH($B118,'LED types'!$A$5:$A$7,0))</f>
        <v/>
      </c>
      <c r="H118" s="64">
        <f>INDEX('LED types'!$H$5:$H$7,MATCH($B118,'LED types'!$A$5:$A$7,0))</f>
        <v/>
      </c>
      <c r="I118" s="64">
        <f>INDEX('LED types'!$I$5:$I$7,MATCH($B118,'LED types'!$A$5:$A$7,0))</f>
        <v/>
      </c>
      <c r="J118" s="64">
        <f>INDEX('LED types'!$J$5:$J$7,MATCH($B118,'LED types'!$A$5:$A$7,0))</f>
        <v/>
      </c>
      <c r="K118" s="42">
        <f>IF(OR(AND(B118="Hour",C118=Inputs!$B$22),AND(B118="Minute",C118=Inputs!$B$23),AND(B118="Second",C118=Inputs!$B$24)),1,0)</f>
        <v/>
      </c>
      <c r="L118" s="64">
        <f>K118*H118</f>
        <v/>
      </c>
      <c r="M118" s="64">
        <f>K118*I118</f>
        <v/>
      </c>
      <c r="N118" s="47">
        <f>K118*I118*Inputs!$B$25/3600</f>
        <v/>
      </c>
    </row>
    <row r="119">
      <c r="A119" s="2" t="inlineStr">
        <is>
          <t>S42</t>
        </is>
      </c>
      <c r="B119" s="2" t="inlineStr">
        <is>
          <t>Second</t>
        </is>
      </c>
      <c r="C119" s="42" t="n">
        <v>42</v>
      </c>
      <c r="D119" s="42">
        <f>IF(B119="Hour",MOD(C119,12)*30,C119*6)</f>
        <v/>
      </c>
      <c r="E119" s="42">
        <f>IF(B119="Hour",0,IF(B119="Minute",1+MOD(C119,5),6+MOD(C119,5)))</f>
        <v/>
      </c>
      <c r="F119" s="42">
        <f>IF(B119="Hour",MOD(C119,12),INT(C119/5))</f>
        <v/>
      </c>
      <c r="G119" s="64">
        <f>INDEX('LED types'!$F$5:$F$7,MATCH($B119,'LED types'!$A$5:$A$7,0))</f>
        <v/>
      </c>
      <c r="H119" s="64">
        <f>INDEX('LED types'!$H$5:$H$7,MATCH($B119,'LED types'!$A$5:$A$7,0))</f>
        <v/>
      </c>
      <c r="I119" s="64">
        <f>INDEX('LED types'!$I$5:$I$7,MATCH($B119,'LED types'!$A$5:$A$7,0))</f>
        <v/>
      </c>
      <c r="J119" s="64">
        <f>INDEX('LED types'!$J$5:$J$7,MATCH($B119,'LED types'!$A$5:$A$7,0))</f>
        <v/>
      </c>
      <c r="K119" s="42">
        <f>IF(OR(AND(B119="Hour",C119=Inputs!$B$22),AND(B119="Minute",C119=Inputs!$B$23),AND(B119="Second",C119=Inputs!$B$24)),1,0)</f>
        <v/>
      </c>
      <c r="L119" s="64">
        <f>K119*H119</f>
        <v/>
      </c>
      <c r="M119" s="64">
        <f>K119*I119</f>
        <v/>
      </c>
      <c r="N119" s="47">
        <f>K119*I119*Inputs!$B$25/3600</f>
        <v/>
      </c>
    </row>
    <row r="120">
      <c r="A120" s="2" t="inlineStr">
        <is>
          <t>S43</t>
        </is>
      </c>
      <c r="B120" s="2" t="inlineStr">
        <is>
          <t>Second</t>
        </is>
      </c>
      <c r="C120" s="42" t="n">
        <v>43</v>
      </c>
      <c r="D120" s="42">
        <f>IF(B120="Hour",MOD(C120,12)*30,C120*6)</f>
        <v/>
      </c>
      <c r="E120" s="42">
        <f>IF(B120="Hour",0,IF(B120="Minute",1+MOD(C120,5),6+MOD(C120,5)))</f>
        <v/>
      </c>
      <c r="F120" s="42">
        <f>IF(B120="Hour",MOD(C120,12),INT(C120/5))</f>
        <v/>
      </c>
      <c r="G120" s="64">
        <f>INDEX('LED types'!$F$5:$F$7,MATCH($B120,'LED types'!$A$5:$A$7,0))</f>
        <v/>
      </c>
      <c r="H120" s="64">
        <f>INDEX('LED types'!$H$5:$H$7,MATCH($B120,'LED types'!$A$5:$A$7,0))</f>
        <v/>
      </c>
      <c r="I120" s="64">
        <f>INDEX('LED types'!$I$5:$I$7,MATCH($B120,'LED types'!$A$5:$A$7,0))</f>
        <v/>
      </c>
      <c r="J120" s="64">
        <f>INDEX('LED types'!$J$5:$J$7,MATCH($B120,'LED types'!$A$5:$A$7,0))</f>
        <v/>
      </c>
      <c r="K120" s="42">
        <f>IF(OR(AND(B120="Hour",C120=Inputs!$B$22),AND(B120="Minute",C120=Inputs!$B$23),AND(B120="Second",C120=Inputs!$B$24)),1,0)</f>
        <v/>
      </c>
      <c r="L120" s="64">
        <f>K120*H120</f>
        <v/>
      </c>
      <c r="M120" s="64">
        <f>K120*I120</f>
        <v/>
      </c>
      <c r="N120" s="47">
        <f>K120*I120*Inputs!$B$25/3600</f>
        <v/>
      </c>
    </row>
    <row r="121">
      <c r="A121" s="2" t="inlineStr">
        <is>
          <t>S44</t>
        </is>
      </c>
      <c r="B121" s="2" t="inlineStr">
        <is>
          <t>Second</t>
        </is>
      </c>
      <c r="C121" s="42" t="n">
        <v>44</v>
      </c>
      <c r="D121" s="42">
        <f>IF(B121="Hour",MOD(C121,12)*30,C121*6)</f>
        <v/>
      </c>
      <c r="E121" s="42">
        <f>IF(B121="Hour",0,IF(B121="Minute",1+MOD(C121,5),6+MOD(C121,5)))</f>
        <v/>
      </c>
      <c r="F121" s="42">
        <f>IF(B121="Hour",MOD(C121,12),INT(C121/5))</f>
        <v/>
      </c>
      <c r="G121" s="64">
        <f>INDEX('LED types'!$F$5:$F$7,MATCH($B121,'LED types'!$A$5:$A$7,0))</f>
        <v/>
      </c>
      <c r="H121" s="64">
        <f>INDEX('LED types'!$H$5:$H$7,MATCH($B121,'LED types'!$A$5:$A$7,0))</f>
        <v/>
      </c>
      <c r="I121" s="64">
        <f>INDEX('LED types'!$I$5:$I$7,MATCH($B121,'LED types'!$A$5:$A$7,0))</f>
        <v/>
      </c>
      <c r="J121" s="64">
        <f>INDEX('LED types'!$J$5:$J$7,MATCH($B121,'LED types'!$A$5:$A$7,0))</f>
        <v/>
      </c>
      <c r="K121" s="42">
        <f>IF(OR(AND(B121="Hour",C121=Inputs!$B$22),AND(B121="Minute",C121=Inputs!$B$23),AND(B121="Second",C121=Inputs!$B$24)),1,0)</f>
        <v/>
      </c>
      <c r="L121" s="64">
        <f>K121*H121</f>
        <v/>
      </c>
      <c r="M121" s="64">
        <f>K121*I121</f>
        <v/>
      </c>
      <c r="N121" s="47">
        <f>K121*I121*Inputs!$B$25/3600</f>
        <v/>
      </c>
    </row>
    <row r="122">
      <c r="A122" s="2" t="inlineStr">
        <is>
          <t>S45</t>
        </is>
      </c>
      <c r="B122" s="2" t="inlineStr">
        <is>
          <t>Second</t>
        </is>
      </c>
      <c r="C122" s="42" t="n">
        <v>45</v>
      </c>
      <c r="D122" s="42">
        <f>IF(B122="Hour",MOD(C122,12)*30,C122*6)</f>
        <v/>
      </c>
      <c r="E122" s="42">
        <f>IF(B122="Hour",0,IF(B122="Minute",1+MOD(C122,5),6+MOD(C122,5)))</f>
        <v/>
      </c>
      <c r="F122" s="42">
        <f>IF(B122="Hour",MOD(C122,12),INT(C122/5))</f>
        <v/>
      </c>
      <c r="G122" s="64">
        <f>INDEX('LED types'!$F$5:$F$7,MATCH($B122,'LED types'!$A$5:$A$7,0))</f>
        <v/>
      </c>
      <c r="H122" s="64">
        <f>INDEX('LED types'!$H$5:$H$7,MATCH($B122,'LED types'!$A$5:$A$7,0))</f>
        <v/>
      </c>
      <c r="I122" s="64">
        <f>INDEX('LED types'!$I$5:$I$7,MATCH($B122,'LED types'!$A$5:$A$7,0))</f>
        <v/>
      </c>
      <c r="J122" s="64">
        <f>INDEX('LED types'!$J$5:$J$7,MATCH($B122,'LED types'!$A$5:$A$7,0))</f>
        <v/>
      </c>
      <c r="K122" s="42">
        <f>IF(OR(AND(B122="Hour",C122=Inputs!$B$22),AND(B122="Minute",C122=Inputs!$B$23),AND(B122="Second",C122=Inputs!$B$24)),1,0)</f>
        <v/>
      </c>
      <c r="L122" s="64">
        <f>K122*H122</f>
        <v/>
      </c>
      <c r="M122" s="64">
        <f>K122*I122</f>
        <v/>
      </c>
      <c r="N122" s="47">
        <f>K122*I122*Inputs!$B$25/3600</f>
        <v/>
      </c>
    </row>
    <row r="123">
      <c r="A123" s="2" t="inlineStr">
        <is>
          <t>S46</t>
        </is>
      </c>
      <c r="B123" s="2" t="inlineStr">
        <is>
          <t>Second</t>
        </is>
      </c>
      <c r="C123" s="42" t="n">
        <v>46</v>
      </c>
      <c r="D123" s="42">
        <f>IF(B123="Hour",MOD(C123,12)*30,C123*6)</f>
        <v/>
      </c>
      <c r="E123" s="42">
        <f>IF(B123="Hour",0,IF(B123="Minute",1+MOD(C123,5),6+MOD(C123,5)))</f>
        <v/>
      </c>
      <c r="F123" s="42">
        <f>IF(B123="Hour",MOD(C123,12),INT(C123/5))</f>
        <v/>
      </c>
      <c r="G123" s="64">
        <f>INDEX('LED types'!$F$5:$F$7,MATCH($B123,'LED types'!$A$5:$A$7,0))</f>
        <v/>
      </c>
      <c r="H123" s="64">
        <f>INDEX('LED types'!$H$5:$H$7,MATCH($B123,'LED types'!$A$5:$A$7,0))</f>
        <v/>
      </c>
      <c r="I123" s="64">
        <f>INDEX('LED types'!$I$5:$I$7,MATCH($B123,'LED types'!$A$5:$A$7,0))</f>
        <v/>
      </c>
      <c r="J123" s="64">
        <f>INDEX('LED types'!$J$5:$J$7,MATCH($B123,'LED types'!$A$5:$A$7,0))</f>
        <v/>
      </c>
      <c r="K123" s="42">
        <f>IF(OR(AND(B123="Hour",C123=Inputs!$B$22),AND(B123="Minute",C123=Inputs!$B$23),AND(B123="Second",C123=Inputs!$B$24)),1,0)</f>
        <v/>
      </c>
      <c r="L123" s="64">
        <f>K123*H123</f>
        <v/>
      </c>
      <c r="M123" s="64">
        <f>K123*I123</f>
        <v/>
      </c>
      <c r="N123" s="47">
        <f>K123*I123*Inputs!$B$25/3600</f>
        <v/>
      </c>
    </row>
    <row r="124">
      <c r="A124" s="2" t="inlineStr">
        <is>
          <t>S47</t>
        </is>
      </c>
      <c r="B124" s="2" t="inlineStr">
        <is>
          <t>Second</t>
        </is>
      </c>
      <c r="C124" s="42" t="n">
        <v>47</v>
      </c>
      <c r="D124" s="42">
        <f>IF(B124="Hour",MOD(C124,12)*30,C124*6)</f>
        <v/>
      </c>
      <c r="E124" s="42">
        <f>IF(B124="Hour",0,IF(B124="Minute",1+MOD(C124,5),6+MOD(C124,5)))</f>
        <v/>
      </c>
      <c r="F124" s="42">
        <f>IF(B124="Hour",MOD(C124,12),INT(C124/5))</f>
        <v/>
      </c>
      <c r="G124" s="64">
        <f>INDEX('LED types'!$F$5:$F$7,MATCH($B124,'LED types'!$A$5:$A$7,0))</f>
        <v/>
      </c>
      <c r="H124" s="64">
        <f>INDEX('LED types'!$H$5:$H$7,MATCH($B124,'LED types'!$A$5:$A$7,0))</f>
        <v/>
      </c>
      <c r="I124" s="64">
        <f>INDEX('LED types'!$I$5:$I$7,MATCH($B124,'LED types'!$A$5:$A$7,0))</f>
        <v/>
      </c>
      <c r="J124" s="64">
        <f>INDEX('LED types'!$J$5:$J$7,MATCH($B124,'LED types'!$A$5:$A$7,0))</f>
        <v/>
      </c>
      <c r="K124" s="42">
        <f>IF(OR(AND(B124="Hour",C124=Inputs!$B$22),AND(B124="Minute",C124=Inputs!$B$23),AND(B124="Second",C124=Inputs!$B$24)),1,0)</f>
        <v/>
      </c>
      <c r="L124" s="64">
        <f>K124*H124</f>
        <v/>
      </c>
      <c r="M124" s="64">
        <f>K124*I124</f>
        <v/>
      </c>
      <c r="N124" s="47">
        <f>K124*I124*Inputs!$B$25/3600</f>
        <v/>
      </c>
    </row>
    <row r="125">
      <c r="A125" s="2" t="inlineStr">
        <is>
          <t>S48</t>
        </is>
      </c>
      <c r="B125" s="2" t="inlineStr">
        <is>
          <t>Second</t>
        </is>
      </c>
      <c r="C125" s="42" t="n">
        <v>48</v>
      </c>
      <c r="D125" s="42">
        <f>IF(B125="Hour",MOD(C125,12)*30,C125*6)</f>
        <v/>
      </c>
      <c r="E125" s="42">
        <f>IF(B125="Hour",0,IF(B125="Minute",1+MOD(C125,5),6+MOD(C125,5)))</f>
        <v/>
      </c>
      <c r="F125" s="42">
        <f>IF(B125="Hour",MOD(C125,12),INT(C125/5))</f>
        <v/>
      </c>
      <c r="G125" s="64">
        <f>INDEX('LED types'!$F$5:$F$7,MATCH($B125,'LED types'!$A$5:$A$7,0))</f>
        <v/>
      </c>
      <c r="H125" s="64">
        <f>INDEX('LED types'!$H$5:$H$7,MATCH($B125,'LED types'!$A$5:$A$7,0))</f>
        <v/>
      </c>
      <c r="I125" s="64">
        <f>INDEX('LED types'!$I$5:$I$7,MATCH($B125,'LED types'!$A$5:$A$7,0))</f>
        <v/>
      </c>
      <c r="J125" s="64">
        <f>INDEX('LED types'!$J$5:$J$7,MATCH($B125,'LED types'!$A$5:$A$7,0))</f>
        <v/>
      </c>
      <c r="K125" s="42">
        <f>IF(OR(AND(B125="Hour",C125=Inputs!$B$22),AND(B125="Minute",C125=Inputs!$B$23),AND(B125="Second",C125=Inputs!$B$24)),1,0)</f>
        <v/>
      </c>
      <c r="L125" s="64">
        <f>K125*H125</f>
        <v/>
      </c>
      <c r="M125" s="64">
        <f>K125*I125</f>
        <v/>
      </c>
      <c r="N125" s="47">
        <f>K125*I125*Inputs!$B$25/3600</f>
        <v/>
      </c>
    </row>
    <row r="126">
      <c r="A126" s="2" t="inlineStr">
        <is>
          <t>S49</t>
        </is>
      </c>
      <c r="B126" s="2" t="inlineStr">
        <is>
          <t>Second</t>
        </is>
      </c>
      <c r="C126" s="42" t="n">
        <v>49</v>
      </c>
      <c r="D126" s="42">
        <f>IF(B126="Hour",MOD(C126,12)*30,C126*6)</f>
        <v/>
      </c>
      <c r="E126" s="42">
        <f>IF(B126="Hour",0,IF(B126="Minute",1+MOD(C126,5),6+MOD(C126,5)))</f>
        <v/>
      </c>
      <c r="F126" s="42">
        <f>IF(B126="Hour",MOD(C126,12),INT(C126/5))</f>
        <v/>
      </c>
      <c r="G126" s="64">
        <f>INDEX('LED types'!$F$5:$F$7,MATCH($B126,'LED types'!$A$5:$A$7,0))</f>
        <v/>
      </c>
      <c r="H126" s="64">
        <f>INDEX('LED types'!$H$5:$H$7,MATCH($B126,'LED types'!$A$5:$A$7,0))</f>
        <v/>
      </c>
      <c r="I126" s="64">
        <f>INDEX('LED types'!$I$5:$I$7,MATCH($B126,'LED types'!$A$5:$A$7,0))</f>
        <v/>
      </c>
      <c r="J126" s="64">
        <f>INDEX('LED types'!$J$5:$J$7,MATCH($B126,'LED types'!$A$5:$A$7,0))</f>
        <v/>
      </c>
      <c r="K126" s="42">
        <f>IF(OR(AND(B126="Hour",C126=Inputs!$B$22),AND(B126="Minute",C126=Inputs!$B$23),AND(B126="Second",C126=Inputs!$B$24)),1,0)</f>
        <v/>
      </c>
      <c r="L126" s="64">
        <f>K126*H126</f>
        <v/>
      </c>
      <c r="M126" s="64">
        <f>K126*I126</f>
        <v/>
      </c>
      <c r="N126" s="47">
        <f>K126*I126*Inputs!$B$25/3600</f>
        <v/>
      </c>
    </row>
    <row r="127">
      <c r="A127" s="2" t="inlineStr">
        <is>
          <t>S50</t>
        </is>
      </c>
      <c r="B127" s="2" t="inlineStr">
        <is>
          <t>Second</t>
        </is>
      </c>
      <c r="C127" s="42" t="n">
        <v>50</v>
      </c>
      <c r="D127" s="42">
        <f>IF(B127="Hour",MOD(C127,12)*30,C127*6)</f>
        <v/>
      </c>
      <c r="E127" s="42">
        <f>IF(B127="Hour",0,IF(B127="Minute",1+MOD(C127,5),6+MOD(C127,5)))</f>
        <v/>
      </c>
      <c r="F127" s="42">
        <f>IF(B127="Hour",MOD(C127,12),INT(C127/5))</f>
        <v/>
      </c>
      <c r="G127" s="64">
        <f>INDEX('LED types'!$F$5:$F$7,MATCH($B127,'LED types'!$A$5:$A$7,0))</f>
        <v/>
      </c>
      <c r="H127" s="64">
        <f>INDEX('LED types'!$H$5:$H$7,MATCH($B127,'LED types'!$A$5:$A$7,0))</f>
        <v/>
      </c>
      <c r="I127" s="64">
        <f>INDEX('LED types'!$I$5:$I$7,MATCH($B127,'LED types'!$A$5:$A$7,0))</f>
        <v/>
      </c>
      <c r="J127" s="64">
        <f>INDEX('LED types'!$J$5:$J$7,MATCH($B127,'LED types'!$A$5:$A$7,0))</f>
        <v/>
      </c>
      <c r="K127" s="42">
        <f>IF(OR(AND(B127="Hour",C127=Inputs!$B$22),AND(B127="Minute",C127=Inputs!$B$23),AND(B127="Second",C127=Inputs!$B$24)),1,0)</f>
        <v/>
      </c>
      <c r="L127" s="64">
        <f>K127*H127</f>
        <v/>
      </c>
      <c r="M127" s="64">
        <f>K127*I127</f>
        <v/>
      </c>
      <c r="N127" s="47">
        <f>K127*I127*Inputs!$B$25/3600</f>
        <v/>
      </c>
    </row>
    <row r="128">
      <c r="A128" s="2" t="inlineStr">
        <is>
          <t>S51</t>
        </is>
      </c>
      <c r="B128" s="2" t="inlineStr">
        <is>
          <t>Second</t>
        </is>
      </c>
      <c r="C128" s="42" t="n">
        <v>51</v>
      </c>
      <c r="D128" s="42">
        <f>IF(B128="Hour",MOD(C128,12)*30,C128*6)</f>
        <v/>
      </c>
      <c r="E128" s="42">
        <f>IF(B128="Hour",0,IF(B128="Minute",1+MOD(C128,5),6+MOD(C128,5)))</f>
        <v/>
      </c>
      <c r="F128" s="42">
        <f>IF(B128="Hour",MOD(C128,12),INT(C128/5))</f>
        <v/>
      </c>
      <c r="G128" s="64">
        <f>INDEX('LED types'!$F$5:$F$7,MATCH($B128,'LED types'!$A$5:$A$7,0))</f>
        <v/>
      </c>
      <c r="H128" s="64">
        <f>INDEX('LED types'!$H$5:$H$7,MATCH($B128,'LED types'!$A$5:$A$7,0))</f>
        <v/>
      </c>
      <c r="I128" s="64">
        <f>INDEX('LED types'!$I$5:$I$7,MATCH($B128,'LED types'!$A$5:$A$7,0))</f>
        <v/>
      </c>
      <c r="J128" s="64">
        <f>INDEX('LED types'!$J$5:$J$7,MATCH($B128,'LED types'!$A$5:$A$7,0))</f>
        <v/>
      </c>
      <c r="K128" s="42">
        <f>IF(OR(AND(B128="Hour",C128=Inputs!$B$22),AND(B128="Minute",C128=Inputs!$B$23),AND(B128="Second",C128=Inputs!$B$24)),1,0)</f>
        <v/>
      </c>
      <c r="L128" s="64">
        <f>K128*H128</f>
        <v/>
      </c>
      <c r="M128" s="64">
        <f>K128*I128</f>
        <v/>
      </c>
      <c r="N128" s="47">
        <f>K128*I128*Inputs!$B$25/3600</f>
        <v/>
      </c>
    </row>
    <row r="129">
      <c r="A129" s="2" t="inlineStr">
        <is>
          <t>S52</t>
        </is>
      </c>
      <c r="B129" s="2" t="inlineStr">
        <is>
          <t>Second</t>
        </is>
      </c>
      <c r="C129" s="42" t="n">
        <v>52</v>
      </c>
      <c r="D129" s="42">
        <f>IF(B129="Hour",MOD(C129,12)*30,C129*6)</f>
        <v/>
      </c>
      <c r="E129" s="42">
        <f>IF(B129="Hour",0,IF(B129="Minute",1+MOD(C129,5),6+MOD(C129,5)))</f>
        <v/>
      </c>
      <c r="F129" s="42">
        <f>IF(B129="Hour",MOD(C129,12),INT(C129/5))</f>
        <v/>
      </c>
      <c r="G129" s="64">
        <f>INDEX('LED types'!$F$5:$F$7,MATCH($B129,'LED types'!$A$5:$A$7,0))</f>
        <v/>
      </c>
      <c r="H129" s="64">
        <f>INDEX('LED types'!$H$5:$H$7,MATCH($B129,'LED types'!$A$5:$A$7,0))</f>
        <v/>
      </c>
      <c r="I129" s="64">
        <f>INDEX('LED types'!$I$5:$I$7,MATCH($B129,'LED types'!$A$5:$A$7,0))</f>
        <v/>
      </c>
      <c r="J129" s="64">
        <f>INDEX('LED types'!$J$5:$J$7,MATCH($B129,'LED types'!$A$5:$A$7,0))</f>
        <v/>
      </c>
      <c r="K129" s="42">
        <f>IF(OR(AND(B129="Hour",C129=Inputs!$B$22),AND(B129="Minute",C129=Inputs!$B$23),AND(B129="Second",C129=Inputs!$B$24)),1,0)</f>
        <v/>
      </c>
      <c r="L129" s="64">
        <f>K129*H129</f>
        <v/>
      </c>
      <c r="M129" s="64">
        <f>K129*I129</f>
        <v/>
      </c>
      <c r="N129" s="47">
        <f>K129*I129*Inputs!$B$25/3600</f>
        <v/>
      </c>
    </row>
    <row r="130">
      <c r="A130" s="2" t="inlineStr">
        <is>
          <t>S53</t>
        </is>
      </c>
      <c r="B130" s="2" t="inlineStr">
        <is>
          <t>Second</t>
        </is>
      </c>
      <c r="C130" s="42" t="n">
        <v>53</v>
      </c>
      <c r="D130" s="42">
        <f>IF(B130="Hour",MOD(C130,12)*30,C130*6)</f>
        <v/>
      </c>
      <c r="E130" s="42">
        <f>IF(B130="Hour",0,IF(B130="Minute",1+MOD(C130,5),6+MOD(C130,5)))</f>
        <v/>
      </c>
      <c r="F130" s="42">
        <f>IF(B130="Hour",MOD(C130,12),INT(C130/5))</f>
        <v/>
      </c>
      <c r="G130" s="64">
        <f>INDEX('LED types'!$F$5:$F$7,MATCH($B130,'LED types'!$A$5:$A$7,0))</f>
        <v/>
      </c>
      <c r="H130" s="64">
        <f>INDEX('LED types'!$H$5:$H$7,MATCH($B130,'LED types'!$A$5:$A$7,0))</f>
        <v/>
      </c>
      <c r="I130" s="64">
        <f>INDEX('LED types'!$I$5:$I$7,MATCH($B130,'LED types'!$A$5:$A$7,0))</f>
        <v/>
      </c>
      <c r="J130" s="64">
        <f>INDEX('LED types'!$J$5:$J$7,MATCH($B130,'LED types'!$A$5:$A$7,0))</f>
        <v/>
      </c>
      <c r="K130" s="42">
        <f>IF(OR(AND(B130="Hour",C130=Inputs!$B$22),AND(B130="Minute",C130=Inputs!$B$23),AND(B130="Second",C130=Inputs!$B$24)),1,0)</f>
        <v/>
      </c>
      <c r="L130" s="64">
        <f>K130*H130</f>
        <v/>
      </c>
      <c r="M130" s="64">
        <f>K130*I130</f>
        <v/>
      </c>
      <c r="N130" s="47">
        <f>K130*I130*Inputs!$B$25/3600</f>
        <v/>
      </c>
    </row>
    <row r="131">
      <c r="A131" s="2" t="inlineStr">
        <is>
          <t>S54</t>
        </is>
      </c>
      <c r="B131" s="2" t="inlineStr">
        <is>
          <t>Second</t>
        </is>
      </c>
      <c r="C131" s="42" t="n">
        <v>54</v>
      </c>
      <c r="D131" s="42">
        <f>IF(B131="Hour",MOD(C131,12)*30,C131*6)</f>
        <v/>
      </c>
      <c r="E131" s="42">
        <f>IF(B131="Hour",0,IF(B131="Minute",1+MOD(C131,5),6+MOD(C131,5)))</f>
        <v/>
      </c>
      <c r="F131" s="42">
        <f>IF(B131="Hour",MOD(C131,12),INT(C131/5))</f>
        <v/>
      </c>
      <c r="G131" s="64">
        <f>INDEX('LED types'!$F$5:$F$7,MATCH($B131,'LED types'!$A$5:$A$7,0))</f>
        <v/>
      </c>
      <c r="H131" s="64">
        <f>INDEX('LED types'!$H$5:$H$7,MATCH($B131,'LED types'!$A$5:$A$7,0))</f>
        <v/>
      </c>
      <c r="I131" s="64">
        <f>INDEX('LED types'!$I$5:$I$7,MATCH($B131,'LED types'!$A$5:$A$7,0))</f>
        <v/>
      </c>
      <c r="J131" s="64">
        <f>INDEX('LED types'!$J$5:$J$7,MATCH($B131,'LED types'!$A$5:$A$7,0))</f>
        <v/>
      </c>
      <c r="K131" s="42">
        <f>IF(OR(AND(B131="Hour",C131=Inputs!$B$22),AND(B131="Minute",C131=Inputs!$B$23),AND(B131="Second",C131=Inputs!$B$24)),1,0)</f>
        <v/>
      </c>
      <c r="L131" s="64">
        <f>K131*H131</f>
        <v/>
      </c>
      <c r="M131" s="64">
        <f>K131*I131</f>
        <v/>
      </c>
      <c r="N131" s="47">
        <f>K131*I131*Inputs!$B$25/3600</f>
        <v/>
      </c>
    </row>
    <row r="132">
      <c r="A132" s="2" t="inlineStr">
        <is>
          <t>S55</t>
        </is>
      </c>
      <c r="B132" s="2" t="inlineStr">
        <is>
          <t>Second</t>
        </is>
      </c>
      <c r="C132" s="42" t="n">
        <v>55</v>
      </c>
      <c r="D132" s="42">
        <f>IF(B132="Hour",MOD(C132,12)*30,C132*6)</f>
        <v/>
      </c>
      <c r="E132" s="42">
        <f>IF(B132="Hour",0,IF(B132="Minute",1+MOD(C132,5),6+MOD(C132,5)))</f>
        <v/>
      </c>
      <c r="F132" s="42">
        <f>IF(B132="Hour",MOD(C132,12),INT(C132/5))</f>
        <v/>
      </c>
      <c r="G132" s="64">
        <f>INDEX('LED types'!$F$5:$F$7,MATCH($B132,'LED types'!$A$5:$A$7,0))</f>
        <v/>
      </c>
      <c r="H132" s="64">
        <f>INDEX('LED types'!$H$5:$H$7,MATCH($B132,'LED types'!$A$5:$A$7,0))</f>
        <v/>
      </c>
      <c r="I132" s="64">
        <f>INDEX('LED types'!$I$5:$I$7,MATCH($B132,'LED types'!$A$5:$A$7,0))</f>
        <v/>
      </c>
      <c r="J132" s="64">
        <f>INDEX('LED types'!$J$5:$J$7,MATCH($B132,'LED types'!$A$5:$A$7,0))</f>
        <v/>
      </c>
      <c r="K132" s="42">
        <f>IF(OR(AND(B132="Hour",C132=Inputs!$B$22),AND(B132="Minute",C132=Inputs!$B$23),AND(B132="Second",C132=Inputs!$B$24)),1,0)</f>
        <v/>
      </c>
      <c r="L132" s="64">
        <f>K132*H132</f>
        <v/>
      </c>
      <c r="M132" s="64">
        <f>K132*I132</f>
        <v/>
      </c>
      <c r="N132" s="47">
        <f>K132*I132*Inputs!$B$25/3600</f>
        <v/>
      </c>
    </row>
    <row r="133">
      <c r="A133" s="2" t="inlineStr">
        <is>
          <t>S56</t>
        </is>
      </c>
      <c r="B133" s="2" t="inlineStr">
        <is>
          <t>Second</t>
        </is>
      </c>
      <c r="C133" s="42" t="n">
        <v>56</v>
      </c>
      <c r="D133" s="42">
        <f>IF(B133="Hour",MOD(C133,12)*30,C133*6)</f>
        <v/>
      </c>
      <c r="E133" s="42">
        <f>IF(B133="Hour",0,IF(B133="Minute",1+MOD(C133,5),6+MOD(C133,5)))</f>
        <v/>
      </c>
      <c r="F133" s="42">
        <f>IF(B133="Hour",MOD(C133,12),INT(C133/5))</f>
        <v/>
      </c>
      <c r="G133" s="64">
        <f>INDEX('LED types'!$F$5:$F$7,MATCH($B133,'LED types'!$A$5:$A$7,0))</f>
        <v/>
      </c>
      <c r="H133" s="64">
        <f>INDEX('LED types'!$H$5:$H$7,MATCH($B133,'LED types'!$A$5:$A$7,0))</f>
        <v/>
      </c>
      <c r="I133" s="64">
        <f>INDEX('LED types'!$I$5:$I$7,MATCH($B133,'LED types'!$A$5:$A$7,0))</f>
        <v/>
      </c>
      <c r="J133" s="64">
        <f>INDEX('LED types'!$J$5:$J$7,MATCH($B133,'LED types'!$A$5:$A$7,0))</f>
        <v/>
      </c>
      <c r="K133" s="42">
        <f>IF(OR(AND(B133="Hour",C133=Inputs!$B$22),AND(B133="Minute",C133=Inputs!$B$23),AND(B133="Second",C133=Inputs!$B$24)),1,0)</f>
        <v/>
      </c>
      <c r="L133" s="64">
        <f>K133*H133</f>
        <v/>
      </c>
      <c r="M133" s="64">
        <f>K133*I133</f>
        <v/>
      </c>
      <c r="N133" s="47">
        <f>K133*I133*Inputs!$B$25/3600</f>
        <v/>
      </c>
    </row>
    <row r="134">
      <c r="A134" s="2" t="inlineStr">
        <is>
          <t>S57</t>
        </is>
      </c>
      <c r="B134" s="2" t="inlineStr">
        <is>
          <t>Second</t>
        </is>
      </c>
      <c r="C134" s="42" t="n">
        <v>57</v>
      </c>
      <c r="D134" s="42">
        <f>IF(B134="Hour",MOD(C134,12)*30,C134*6)</f>
        <v/>
      </c>
      <c r="E134" s="42">
        <f>IF(B134="Hour",0,IF(B134="Minute",1+MOD(C134,5),6+MOD(C134,5)))</f>
        <v/>
      </c>
      <c r="F134" s="42">
        <f>IF(B134="Hour",MOD(C134,12),INT(C134/5))</f>
        <v/>
      </c>
      <c r="G134" s="64">
        <f>INDEX('LED types'!$F$5:$F$7,MATCH($B134,'LED types'!$A$5:$A$7,0))</f>
        <v/>
      </c>
      <c r="H134" s="64">
        <f>INDEX('LED types'!$H$5:$H$7,MATCH($B134,'LED types'!$A$5:$A$7,0))</f>
        <v/>
      </c>
      <c r="I134" s="64">
        <f>INDEX('LED types'!$I$5:$I$7,MATCH($B134,'LED types'!$A$5:$A$7,0))</f>
        <v/>
      </c>
      <c r="J134" s="64">
        <f>INDEX('LED types'!$J$5:$J$7,MATCH($B134,'LED types'!$A$5:$A$7,0))</f>
        <v/>
      </c>
      <c r="K134" s="42">
        <f>IF(OR(AND(B134="Hour",C134=Inputs!$B$22),AND(B134="Minute",C134=Inputs!$B$23),AND(B134="Second",C134=Inputs!$B$24)),1,0)</f>
        <v/>
      </c>
      <c r="L134" s="64">
        <f>K134*H134</f>
        <v/>
      </c>
      <c r="M134" s="64">
        <f>K134*I134</f>
        <v/>
      </c>
      <c r="N134" s="47">
        <f>K134*I134*Inputs!$B$25/3600</f>
        <v/>
      </c>
    </row>
    <row r="135">
      <c r="A135" s="2" t="inlineStr">
        <is>
          <t>S58</t>
        </is>
      </c>
      <c r="B135" s="2" t="inlineStr">
        <is>
          <t>Second</t>
        </is>
      </c>
      <c r="C135" s="42" t="n">
        <v>58</v>
      </c>
      <c r="D135" s="42">
        <f>IF(B135="Hour",MOD(C135,12)*30,C135*6)</f>
        <v/>
      </c>
      <c r="E135" s="42">
        <f>IF(B135="Hour",0,IF(B135="Minute",1+MOD(C135,5),6+MOD(C135,5)))</f>
        <v/>
      </c>
      <c r="F135" s="42">
        <f>IF(B135="Hour",MOD(C135,12),INT(C135/5))</f>
        <v/>
      </c>
      <c r="G135" s="64">
        <f>INDEX('LED types'!$F$5:$F$7,MATCH($B135,'LED types'!$A$5:$A$7,0))</f>
        <v/>
      </c>
      <c r="H135" s="64">
        <f>INDEX('LED types'!$H$5:$H$7,MATCH($B135,'LED types'!$A$5:$A$7,0))</f>
        <v/>
      </c>
      <c r="I135" s="64">
        <f>INDEX('LED types'!$I$5:$I$7,MATCH($B135,'LED types'!$A$5:$A$7,0))</f>
        <v/>
      </c>
      <c r="J135" s="64">
        <f>INDEX('LED types'!$J$5:$J$7,MATCH($B135,'LED types'!$A$5:$A$7,0))</f>
        <v/>
      </c>
      <c r="K135" s="42">
        <f>IF(OR(AND(B135="Hour",C135=Inputs!$B$22),AND(B135="Minute",C135=Inputs!$B$23),AND(B135="Second",C135=Inputs!$B$24)),1,0)</f>
        <v/>
      </c>
      <c r="L135" s="64">
        <f>K135*H135</f>
        <v/>
      </c>
      <c r="M135" s="64">
        <f>K135*I135</f>
        <v/>
      </c>
      <c r="N135" s="47">
        <f>K135*I135*Inputs!$B$25/3600</f>
        <v/>
      </c>
    </row>
    <row r="136">
      <c r="A136" s="2" t="inlineStr">
        <is>
          <t>S59</t>
        </is>
      </c>
      <c r="B136" s="2" t="inlineStr">
        <is>
          <t>Second</t>
        </is>
      </c>
      <c r="C136" s="42" t="n">
        <v>59</v>
      </c>
      <c r="D136" s="42">
        <f>IF(B136="Hour",MOD(C136,12)*30,C136*6)</f>
        <v/>
      </c>
      <c r="E136" s="42">
        <f>IF(B136="Hour",0,IF(B136="Minute",1+MOD(C136,5),6+MOD(C136,5)))</f>
        <v/>
      </c>
      <c r="F136" s="42">
        <f>IF(B136="Hour",MOD(C136,12),INT(C136/5))</f>
        <v/>
      </c>
      <c r="G136" s="64">
        <f>INDEX('LED types'!$F$5:$F$7,MATCH($B136,'LED types'!$A$5:$A$7,0))</f>
        <v/>
      </c>
      <c r="H136" s="64">
        <f>INDEX('LED types'!$H$5:$H$7,MATCH($B136,'LED types'!$A$5:$A$7,0))</f>
        <v/>
      </c>
      <c r="I136" s="64">
        <f>INDEX('LED types'!$I$5:$I$7,MATCH($B136,'LED types'!$A$5:$A$7,0))</f>
        <v/>
      </c>
      <c r="J136" s="64">
        <f>INDEX('LED types'!$J$5:$J$7,MATCH($B136,'LED types'!$A$5:$A$7,0))</f>
        <v/>
      </c>
      <c r="K136" s="42">
        <f>IF(OR(AND(B136="Hour",C136=Inputs!$B$22),AND(B136="Minute",C136=Inputs!$B$23),AND(B136="Second",C136=Inputs!$B$24)),1,0)</f>
        <v/>
      </c>
      <c r="L136" s="64">
        <f>K136*H136</f>
        <v/>
      </c>
      <c r="M136" s="64">
        <f>K136*I136</f>
        <v/>
      </c>
      <c r="N136" s="47">
        <f>K136*I136*Inputs!$B$25/3600</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10" customWidth="1" min="1" max="1"/>
    <col width="10" customWidth="1" min="2" max="2"/>
    <col width="20" customWidth="1" min="3" max="3"/>
    <col width="14" customWidth="1" min="4" max="4"/>
    <col width="10" customWidth="1" min="5" max="5"/>
    <col width="16" customWidth="1" min="6" max="6"/>
    <col width="12" customWidth="1" min="7" max="7"/>
    <col width="16" customWidth="1" min="8" max="8"/>
    <col width="16" customWidth="1" min="9" max="9"/>
    <col width="16" customWidth="1" min="10" max="10"/>
    <col width="14" customWidth="1" min="11" max="11"/>
    <col width="14" customWidth="1" min="12" max="12"/>
    <col width="16" customWidth="1" min="13" max="13"/>
    <col width="18" customWidth="1" min="14" max="14"/>
  </cols>
  <sheetData>
    <row r="1">
      <c r="A1" s="1" t="inlineStr">
        <is>
          <t>LED types: electrical model and estimated brightness</t>
        </is>
      </c>
    </row>
    <row r="2" ht="30" customHeight="1">
      <c r="A2" s="3" t="inlineStr">
        <is>
          <t>One row per LED type. The 'Every LED' tab looks these up. Brightness is estimated as proportional to AVERAGE current (ESTIMATE); roughly 10-20 mcd looks clearly lit indoors (rule of thumb, ESTIMATE).</t>
        </is>
      </c>
    </row>
    <row r="3"/>
    <row r="4" ht="58" customHeight="1">
      <c r="A4" s="17" t="inlineStr">
        <is>
          <t>Type</t>
        </is>
      </c>
      <c r="B4" s="17" t="inlineStr">
        <is>
          <t>Count in watch</t>
        </is>
      </c>
      <c r="C4" s="17" t="inlineStr">
        <is>
          <t>Package</t>
        </is>
      </c>
      <c r="D4" s="17" t="inlineStr">
        <is>
          <t>LED forward voltage Vf (V)</t>
        </is>
      </c>
      <c r="E4" s="17" t="inlineStr">
        <is>
          <t>PWM duty</t>
        </is>
      </c>
      <c r="F4" s="17" t="inlineStr">
        <is>
          <t>On-current when its slot is on (mA)</t>
        </is>
      </c>
      <c r="G4" s="17" t="inlineStr">
        <is>
          <t>Time-share (1 / rows)</t>
        </is>
      </c>
      <c r="H4" s="17" t="inlineStr">
        <is>
          <t>Average current while lit (mA)</t>
        </is>
      </c>
      <c r="I4" s="17" t="inlineStr">
        <is>
          <t>Average battery power while lit (mW)</t>
        </is>
      </c>
      <c r="J4" s="17" t="inlineStr">
        <is>
          <t>Instantaneous power when on (mW)</t>
        </is>
      </c>
      <c r="K4" s="17" t="inlineStr">
        <is>
          <t>Reference brightness (mcd)</t>
        </is>
      </c>
      <c r="L4" s="17" t="inlineStr">
        <is>
          <t>At reference current (mA)</t>
        </is>
      </c>
      <c r="M4" s="17" t="inlineStr">
        <is>
          <t>Estimated brightness while lit (mcd)</t>
        </is>
      </c>
      <c r="N4" s="17" t="inlineStr">
        <is>
          <t>Share of power that becomes LED (Vf / battery V)</t>
        </is>
      </c>
    </row>
    <row r="5">
      <c r="A5" s="36" t="inlineStr">
        <is>
          <t>Hour</t>
        </is>
      </c>
      <c r="B5" s="42" t="n">
        <v>12</v>
      </c>
      <c r="C5" s="67">
        <f>INDEX(LEDs!$B$7:$G$7,MATCH(Inputs!$B$56,LEDs!$B$4:$G$4,0))</f>
        <v/>
      </c>
      <c r="D5" s="68">
        <f>INDEX(LEDs!$B$12:$G$12,MATCH(Inputs!$B$56,LEDs!$B$4:$G$4,0))</f>
        <v/>
      </c>
      <c r="E5" s="69">
        <f>Inputs!B17</f>
        <v/>
      </c>
      <c r="F5" s="64">
        <f>IF(ISNUMBER(Inputs!$B$13),Inputs!$B$13,MAX(0,(Inputs!$B$5-D5-Inputs!$B$12)/Inputs!$B$11*1000))</f>
        <v/>
      </c>
      <c r="G5" s="64">
        <f>1/Inputs!$B$16</f>
        <v/>
      </c>
      <c r="H5" s="65">
        <f>F5*G5*E5</f>
        <v/>
      </c>
      <c r="I5" s="65">
        <f>Inputs!$B$5*H5</f>
        <v/>
      </c>
      <c r="J5" s="28">
        <f>Inputs!$B$5*F5</f>
        <v/>
      </c>
      <c r="K5" s="8">
        <f>INDEX(LEDs!$B$14:$G$14,MATCH(Inputs!$B$56,LEDs!$B$4:$G$4,0))</f>
        <v/>
      </c>
      <c r="L5" s="8">
        <f>INDEX(LEDs!$B$13:$G$13,MATCH(Inputs!$B$56,LEDs!$B$4:$G$4,0))</f>
        <v/>
      </c>
      <c r="M5" s="9">
        <f>K5*H5/L5</f>
        <v/>
      </c>
      <c r="N5" s="66">
        <f>IF(Inputs!$B$5&gt;0,D5/Inputs!$B$5,0)</f>
        <v/>
      </c>
    </row>
    <row r="6">
      <c r="A6" s="36" t="inlineStr">
        <is>
          <t>Minute</t>
        </is>
      </c>
      <c r="B6" s="42" t="n">
        <v>60</v>
      </c>
      <c r="C6" s="67">
        <f>INDEX(LEDs!$B$7:$G$7,MATCH(Inputs!$B$57,LEDs!$B$4:$G$4,0))</f>
        <v/>
      </c>
      <c r="D6" s="68">
        <f>INDEX(LEDs!$B$12:$G$12,MATCH(Inputs!$B$57,LEDs!$B$4:$G$4,0))</f>
        <v/>
      </c>
      <c r="E6" s="69">
        <f>Inputs!B18</f>
        <v/>
      </c>
      <c r="F6" s="64">
        <f>IF(ISNUMBER(Inputs!$B$13),Inputs!$B$13,MAX(0,(Inputs!$B$5-D6-Inputs!$B$12)/Inputs!$B$11*1000))</f>
        <v/>
      </c>
      <c r="G6" s="64">
        <f>1/Inputs!$B$16</f>
        <v/>
      </c>
      <c r="H6" s="65">
        <f>F6*G6*E6</f>
        <v/>
      </c>
      <c r="I6" s="65">
        <f>Inputs!$B$5*H6</f>
        <v/>
      </c>
      <c r="J6" s="28">
        <f>Inputs!$B$5*F6</f>
        <v/>
      </c>
      <c r="K6" s="8">
        <f>INDEX(LEDs!$B$14:$G$14,MATCH(Inputs!$B$57,LEDs!$B$4:$G$4,0))</f>
        <v/>
      </c>
      <c r="L6" s="8">
        <f>INDEX(LEDs!$B$13:$G$13,MATCH(Inputs!$B$57,LEDs!$B$4:$G$4,0))</f>
        <v/>
      </c>
      <c r="M6" s="9">
        <f>K6*H6/L6</f>
        <v/>
      </c>
      <c r="N6" s="66">
        <f>IF(Inputs!$B$5&gt;0,D6/Inputs!$B$5,0)</f>
        <v/>
      </c>
    </row>
    <row r="7">
      <c r="A7" s="36" t="inlineStr">
        <is>
          <t>Second</t>
        </is>
      </c>
      <c r="B7" s="42" t="n">
        <v>60</v>
      </c>
      <c r="C7" s="67">
        <f>INDEX(LEDs!$B$7:$G$7,MATCH(Inputs!$B$58,LEDs!$B$4:$G$4,0))</f>
        <v/>
      </c>
      <c r="D7" s="68">
        <f>INDEX(LEDs!$B$12:$G$12,MATCH(Inputs!$B$58,LEDs!$B$4:$G$4,0))</f>
        <v/>
      </c>
      <c r="E7" s="69">
        <f>Inputs!B19</f>
        <v/>
      </c>
      <c r="F7" s="64">
        <f>IF(ISNUMBER(Inputs!$B$13),Inputs!$B$13,MAX(0,(Inputs!$B$5-D7-Inputs!$B$12)/Inputs!$B$11*1000))</f>
        <v/>
      </c>
      <c r="G7" s="64">
        <f>1/Inputs!$B$16</f>
        <v/>
      </c>
      <c r="H7" s="65">
        <f>F7*G7*E7</f>
        <v/>
      </c>
      <c r="I7" s="65">
        <f>Inputs!$B$5*H7</f>
        <v/>
      </c>
      <c r="J7" s="28">
        <f>Inputs!$B$5*F7</f>
        <v/>
      </c>
      <c r="K7" s="8">
        <f>INDEX(LEDs!$B$14:$G$14,MATCH(Inputs!$B$58,LEDs!$B$4:$G$4,0))</f>
        <v/>
      </c>
      <c r="L7" s="8">
        <f>INDEX(LEDs!$B$13:$G$13,MATCH(Inputs!$B$58,LEDs!$B$4:$G$4,0))</f>
        <v/>
      </c>
      <c r="M7" s="9">
        <f>K7*H7/L7</f>
        <v/>
      </c>
      <c r="N7" s="66">
        <f>IF(Inputs!$B$5&gt;0,D7/Inputs!$B$5,0)</f>
        <v/>
      </c>
    </row>
    <row r="8"/>
    <row r="9" ht="30" customHeight="1">
      <c r="A9" s="3" t="inlineStr">
        <is>
          <t>Sources: Vf 2.6-3.3 V and brightness 350-1000 mcd @ 20 mA (0402 XL-1005UWC) and 145-360 mcd @ 5 mA (0603/0805 KT-0603W/-0805W) are from the LCSC data sheets via the JLCPCB research report (jlc-alternatives.md). The 2.7 V Vf at low current and the mid-range brightness values are ESTIMATES.</t>
        </is>
      </c>
    </row>
  </sheetData>
  <mergeCells count="2">
    <mergeCell ref="A9:N9"/>
    <mergeCell ref="A2:N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34" customWidth="1" min="1" max="1"/>
    <col width="70" customWidth="1" min="4" max="4"/>
    <col width="40" customWidth="1" min="6" max="6"/>
    <col width="70" customWidth="1" min="8" max="8"/>
  </cols>
  <sheetData>
    <row r="1">
      <c r="A1" s="17" t="inlineStr">
        <is>
          <t>Wake method</t>
        </is>
      </c>
      <c r="B1" s="17" t="inlineStr">
        <is>
          <t>Current (uA)</t>
        </is>
      </c>
      <c r="C1" s="17" t="inlineStr">
        <is>
          <t>Voltage (V)</t>
        </is>
      </c>
      <c r="D1" s="17" t="inlineStr">
        <is>
          <t>Source</t>
        </is>
      </c>
      <c r="F1" s="17" t="inlineStr">
        <is>
          <t>Game-mode sensor setting</t>
        </is>
      </c>
      <c r="G1" s="17" t="inlineStr">
        <is>
          <t>Current (uA)</t>
        </is>
      </c>
      <c r="H1" s="17" t="inlineStr">
        <is>
          <t>Source</t>
        </is>
      </c>
    </row>
    <row r="2">
      <c r="A2" s="2" t="inlineStr">
        <is>
          <t>Button only (no motion sensor)</t>
        </is>
      </c>
      <c r="B2" s="2" t="n">
        <v>0</v>
      </c>
      <c r="C2" s="2" t="n">
        <v>3.3</v>
      </c>
      <c r="D2" s="7" t="inlineStr">
        <is>
          <t>Nothing running while waiting.</t>
        </is>
      </c>
      <c r="F2" s="2" t="inlineStr">
        <is>
          <t>BMA400 normal mode</t>
        </is>
      </c>
      <c r="G2" s="2" t="n">
        <v>14.5</v>
      </c>
      <c r="H2" s="7" t="inlineStr">
        <is>
          <t>VERIFIED by the research agent (BMA400 normal mode 14.5 uA).</t>
        </is>
      </c>
    </row>
    <row r="3">
      <c r="A3" s="2" t="inlineStr">
        <is>
          <t>BMI270 gesture wake</t>
        </is>
      </c>
      <c r="B3" s="2" t="n">
        <v>13</v>
      </c>
      <c r="C3" s="2" t="n">
        <v>3.3</v>
      </c>
      <c r="D3" s="7" t="inlineStr">
        <is>
          <t>VERIFIED by the research agent (BMI270 wake-on-motion ~13 uA).</t>
        </is>
      </c>
      <c r="F3" s="2" t="inlineStr">
        <is>
          <t>BMI270 accelerometer only, normal</t>
        </is>
      </c>
      <c r="G3" s="2" t="n">
        <v>210</v>
      </c>
      <c r="H3" s="7" t="inlineStr">
        <is>
          <t>VERIFIED: BMI270 datasheet Table 6 (VDD 1.8 V test): accel-only normal mode 210 uA.</t>
        </is>
      </c>
    </row>
    <row r="4">
      <c r="A4" s="2" t="inlineStr">
        <is>
          <t>BMA400 accelerometer wake</t>
        </is>
      </c>
      <c r="B4" s="2" t="n">
        <v>0.85</v>
      </c>
      <c r="C4" s="2" t="n">
        <v>3.3</v>
      </c>
      <c r="D4" s="7" t="inlineStr">
        <is>
          <t>VERIFIED by the research agent (BMA400 low-power mode 850 nA).</t>
        </is>
      </c>
      <c r="F4" s="2" t="inlineStr">
        <is>
          <t>BMI270 accelerometer + gyroscope, normal</t>
        </is>
      </c>
      <c r="G4" s="2" t="n">
        <v>685</v>
      </c>
      <c r="H4" s="7" t="inlineStr">
        <is>
          <t>VERIFIED: BMI270 datasheet Table 6: A+G normal mode 685 uA.</t>
        </is>
      </c>
    </row>
    <row r="5">
      <c r="A5" s="2" t="inlineStr">
        <is>
          <t>LIS2DW12 accelerometer wake</t>
        </is>
      </c>
      <c r="B5" s="2" t="n">
        <v>1</v>
      </c>
      <c r="C5" s="2" t="n">
        <v>3.3</v>
      </c>
      <c r="D5" s="7" t="inlineStr">
        <is>
          <t>VERIFIED: LIS2DW12 DS11811 Table 4, low-power mode 1 at 12.5 Hz = 1 uA typ (1.8 V; slightly higher at 3.3 V).</t>
        </is>
      </c>
      <c r="F5" s="2" t="inlineStr">
        <is>
          <t>LIS2DW12 normal mode</t>
        </is>
      </c>
      <c r="G5" s="2" t="n">
        <v>5</v>
      </c>
      <c r="H5" s="7" t="inlineStr">
        <is>
          <t>VERIFIED: LIS2DW12 DS11811 Table 4, low-power mode 1, ODR 100 Hz = 5 uA (at 1.8 V).</t>
        </is>
      </c>
    </row>
    <row r="6">
      <c r="A6" s="2" t="inlineStr">
        <is>
          <t>Custom</t>
        </is>
      </c>
      <c r="B6" s="57">
        <f>Inputs!B33</f>
        <v/>
      </c>
      <c r="C6" s="57">
        <f>Inputs!B34</f>
        <v/>
      </c>
      <c r="D6" s="7" t="inlineStr">
        <is>
          <t>Uses the custom cells on the Inputs tab.</t>
        </is>
      </c>
      <c r="F6" s="2" t="inlineStr">
        <is>
          <t>Custom</t>
        </is>
      </c>
      <c r="G6" s="57">
        <f>Inputs!B52</f>
        <v/>
      </c>
      <c r="H6" s="7" t="inlineStr">
        <is>
          <t>Uses the custom cell on the Inputs tab.</t>
        </is>
      </c>
    </row>
    <row r="7"/>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30" customWidth="1" min="1" max="1"/>
  </cols>
  <sheetData>
    <row r="1">
      <c r="A1" s="33" t="inlineStr">
        <is>
          <t>What this workbook is</t>
        </is>
      </c>
    </row>
    <row r="2">
      <c r="A2" s="19" t="inlineStr">
        <is>
          <t>A live model of the single-colour LED watch. Change the yellow cells on 'Inputs' (or the LED/solar tables) and every other tab recalculates.</t>
        </is>
      </c>
    </row>
    <row r="3">
      <c r="A3" s="19" t="inlineStr"/>
    </row>
    <row r="4">
      <c r="A4" s="33" t="inlineStr">
        <is>
          <t>Tabs</t>
        </is>
      </c>
    </row>
    <row r="5">
      <c r="A5" s="19" t="inlineStr">
        <is>
          <t>Inputs: all the levers. LED types: electrical model per LED size. Every LED: all 132 LEDs, where each sits in the matrix, and its power draw. Solar: light units, cell power, daily harvest. Power budget: results and what-if tables.</t>
        </is>
      </c>
    </row>
    <row r="6">
      <c r="A6" s="19" t="inlineStr"/>
    </row>
    <row r="7">
      <c r="A7" s="33" t="inlineStr">
        <is>
          <t>What 'Variant A' and 'Variant B' mean (from the schematics)</t>
        </is>
      </c>
    </row>
    <row r="8">
      <c r="A8" s="19" t="inlineStr">
        <is>
          <t>Variant A = the battery is charged through two small pads (like a charging dock or a USB cable): a simple charger chip (MCP73831) fills the LiPo when you plug it in. No solar.</t>
        </is>
      </c>
    </row>
    <row r="9">
      <c r="A9" s="19" t="inlineStr">
        <is>
          <t>Variant B = the battery is charged by a solar cell on the face, through an energy-harvesting chip (BQ25570). You could still add pads for backup.</t>
        </is>
      </c>
    </row>
    <row r="10">
      <c r="A10" s="19" t="inlineStr">
        <is>
          <t>This workbook works for either: the 'always-on' and 'display' numbers are the same; only the Solar section matters for Variant B.</t>
        </is>
      </c>
    </row>
    <row r="11">
      <c r="A11" s="19" t="inlineStr"/>
    </row>
    <row r="12">
      <c r="A12" s="33" t="inlineStr">
        <is>
          <t>How PWM and multiplexing relate</t>
        </is>
      </c>
    </row>
    <row r="13">
      <c r="A13" s="19" t="inlineStr">
        <is>
          <t>Multiplexing = switching rows on one at a time so a few pins can drive many LEDs. PWM = switching an LED on for only part of its slot to make it dimmer. Both are just timers in firmware. Brightness and energy both follow the average current.</t>
        </is>
      </c>
    </row>
    <row r="14">
      <c r="A14" s="19" t="inlineStr"/>
    </row>
    <row r="15">
      <c r="A15" s="33" t="inlineStr">
        <is>
          <t>Special mode (section 7 of Inputs, section G of Power budget)</t>
        </is>
      </c>
    </row>
    <row r="16">
      <c r="A16" s="19" t="inlineStr">
        <is>
          <t>A fluid/gravity or tilt game only needs the direction of gravity, so an ACCELEROMETER is enough (a gyroscope is not needed). The model charges you for the LEDs, the MCU and the sensor for the minutes you choose, and checks whether one MCU row pin can carry all the LEDs lit in that row.</t>
        </is>
      </c>
    </row>
    <row r="17">
      <c r="A17" s="19" t="inlineStr"/>
    </row>
    <row r="18">
      <c r="A18" s="33" t="inlineStr">
        <is>
          <t>Honesty notes</t>
        </is>
      </c>
    </row>
    <row r="19">
      <c r="A19" s="19" t="inlineStr">
        <is>
          <t>Tags: VERIFIED = taken from a manufacturer datasheet or catalog; ESTIMATE = an assumption of mine. Estimates are in the input cells so you can overwrite them. The LED current at low drive depends strongly on Vf, which is a place the real number matters: measure it on a prototype.</t>
        </is>
      </c>
    </row>
    <row r="20">
      <c r="A20" s="19" t="inlineStr">
        <is>
          <t>Solar cell low-light power is not published for Anysolar cells; those figures are derived from one set of unverified efficiency snippets. Measure before relying on them.</t>
        </is>
      </c>
    </row>
    <row r="21">
      <c r="A21" s="19" t="inlineStr">
        <is>
          <t>Sources: see solar-watch-evidence.md, solar-power-research.md, solar-cell-sourcing.md, mcu-research.md in the project folder.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61"/>
  <sheetViews>
    <sheetView workbookViewId="0">
      <pane ySplit="3" topLeftCell="A4" activePane="bottomLeft" state="frozen"/>
      <selection pane="bottomLeft" activeCell="A1" sqref="A1"/>
    </sheetView>
  </sheetViews>
  <sheetFormatPr baseColWidth="8" defaultRowHeight="15"/>
  <cols>
    <col width="16" customWidth="1" min="1" max="1"/>
    <col width="8" customWidth="1" min="2" max="2"/>
    <col width="30" customWidth="1" min="3" max="3"/>
    <col width="120" customWidth="1" min="4" max="4"/>
  </cols>
  <sheetData>
    <row r="1">
      <c r="A1" s="1" t="inlineStr">
        <is>
          <t>Every link in this workbook as plain text (copy and paste into a browser if the clickable links do not work in your viewer)</t>
        </is>
      </c>
    </row>
    <row r="3">
      <c r="A3" s="17" t="inlineStr">
        <is>
          <t>Tab</t>
        </is>
      </c>
      <c r="B3" s="17" t="inlineStr">
        <is>
          <t>Cell</t>
        </is>
      </c>
      <c r="C3" s="17" t="inlineStr">
        <is>
          <t>Label</t>
        </is>
      </c>
      <c r="D3" s="17" t="inlineStr">
        <is>
          <t>Full URL</t>
        </is>
      </c>
    </row>
    <row r="4">
      <c r="A4" s="2" t="inlineStr">
        <is>
          <t>LEDs</t>
        </is>
      </c>
      <c r="B4" s="2" t="inlineStr">
        <is>
          <t>B23</t>
        </is>
      </c>
      <c r="C4" s="2" t="inlineStr">
        <is>
          <t>DigiKey page</t>
        </is>
      </c>
      <c r="D4" s="2" t="inlineStr">
        <is>
          <t>https://www.digikey.com/en/products/detail/xinglight/XL-0201UWC/25672884</t>
        </is>
      </c>
    </row>
    <row r="5">
      <c r="A5" s="2" t="inlineStr">
        <is>
          <t>LEDs</t>
        </is>
      </c>
      <c r="B5" s="2" t="inlineStr">
        <is>
          <t>C23</t>
        </is>
      </c>
      <c r="C5" s="2" t="inlineStr">
        <is>
          <t>DigiKey page</t>
        </is>
      </c>
      <c r="D5" s="2" t="inlineStr">
        <is>
          <t>https://www.digikey.com/en/products/detail/xinglight/XL-1005UWC/25672941</t>
        </is>
      </c>
    </row>
    <row r="6">
      <c r="A6" s="2" t="inlineStr">
        <is>
          <t>LEDs</t>
        </is>
      </c>
      <c r="B6" s="2" t="inlineStr">
        <is>
          <t>E23</t>
        </is>
      </c>
      <c r="C6" s="2" t="inlineStr">
        <is>
          <t>DigiKey page</t>
        </is>
      </c>
      <c r="D6" s="2" t="inlineStr">
        <is>
          <t>https://www.digikey.com/en/products/detail/dialight/5973904507F/9385438</t>
        </is>
      </c>
    </row>
    <row r="7">
      <c r="A7" s="2" t="inlineStr">
        <is>
          <t>LEDs</t>
        </is>
      </c>
      <c r="B7" s="2" t="inlineStr">
        <is>
          <t>G23</t>
        </is>
      </c>
      <c r="C7" s="2" t="inlineStr">
        <is>
          <t>DigiKey page</t>
        </is>
      </c>
      <c r="D7" s="2" t="inlineStr">
        <is>
          <t>https://www.digikey.com/en/products/detail/liteon/LTW-170TK/758704</t>
        </is>
      </c>
    </row>
    <row r="8">
      <c r="A8" s="2" t="inlineStr">
        <is>
          <t>LEDs</t>
        </is>
      </c>
      <c r="B8" s="2" t="inlineStr">
        <is>
          <t>H23</t>
        </is>
      </c>
      <c r="C8" s="2" t="inlineStr">
        <is>
          <t>DigiKey page</t>
        </is>
      </c>
      <c r="D8" s="2" t="inlineStr">
        <is>
          <t>https://www.digikey.com/en/products/detail/harvatek-corporation/B39D3RGB-F6C0001HOU1930/13588747</t>
        </is>
      </c>
    </row>
    <row r="9">
      <c r="A9" s="2" t="inlineStr">
        <is>
          <t>LEDs</t>
        </is>
      </c>
      <c r="B9" s="2" t="inlineStr">
        <is>
          <t>B28</t>
        </is>
      </c>
      <c r="C9" s="2" t="inlineStr">
        <is>
          <t>JLCPCB page</t>
        </is>
      </c>
      <c r="D9" s="2" t="inlineStr">
        <is>
          <t>https://jlcpcb.com/partdetail/C965789</t>
        </is>
      </c>
    </row>
    <row r="10">
      <c r="A10" s="2" t="inlineStr">
        <is>
          <t>LEDs</t>
        </is>
      </c>
      <c r="B10" s="2" t="inlineStr">
        <is>
          <t>C28</t>
        </is>
      </c>
      <c r="C10" s="2" t="inlineStr">
        <is>
          <t>JLCPCB page</t>
        </is>
      </c>
      <c r="D10" s="2" t="inlineStr">
        <is>
          <t>https://jlcpcb.com/partdetail/C20613596</t>
        </is>
      </c>
    </row>
    <row r="11">
      <c r="A11" s="2" t="inlineStr">
        <is>
          <t>LEDs</t>
        </is>
      </c>
      <c r="B11" s="2" t="inlineStr">
        <is>
          <t>D28</t>
        </is>
      </c>
      <c r="C11" s="2" t="inlineStr">
        <is>
          <t>JLCPCB page</t>
        </is>
      </c>
      <c r="D11" s="2" t="inlineStr">
        <is>
          <t>https://jlcpcb.com/partdetail/C2290</t>
        </is>
      </c>
    </row>
    <row r="12">
      <c r="A12" s="2" t="inlineStr">
        <is>
          <t>LEDs</t>
        </is>
      </c>
      <c r="B12" s="2" t="inlineStr">
        <is>
          <t>F28</t>
        </is>
      </c>
      <c r="C12" s="2" t="inlineStr">
        <is>
          <t>JLCPCB page</t>
        </is>
      </c>
      <c r="D12" s="2" t="inlineStr">
        <is>
          <t>https://jlcpcb.com/partdetail/C34499</t>
        </is>
      </c>
    </row>
    <row r="13">
      <c r="A13" s="2" t="inlineStr">
        <is>
          <t>LEDs</t>
        </is>
      </c>
      <c r="B13" s="2" t="inlineStr">
        <is>
          <t>H28</t>
        </is>
      </c>
      <c r="C13" s="2" t="inlineStr">
        <is>
          <t>JLCPCB page</t>
        </is>
      </c>
      <c r="D13" s="2" t="inlineStr">
        <is>
          <t>https://jlcpcb.com/partdetail/C6509069</t>
        </is>
      </c>
    </row>
    <row r="14">
      <c r="A14" s="2" t="inlineStr">
        <is>
          <t>LEDs</t>
        </is>
      </c>
      <c r="B14" s="2" t="inlineStr">
        <is>
          <t>I28</t>
        </is>
      </c>
      <c r="C14" s="2" t="inlineStr">
        <is>
          <t>JLCPCB page</t>
        </is>
      </c>
      <c r="D14" s="2" t="inlineStr">
        <is>
          <t>https://jlcpcb.com/partdetail/C404279</t>
        </is>
      </c>
    </row>
    <row r="15">
      <c r="A15" s="2" t="inlineStr">
        <is>
          <t>LEDs</t>
        </is>
      </c>
      <c r="B15" s="2" t="inlineStr">
        <is>
          <t>B29</t>
        </is>
      </c>
      <c r="C15" s="2" t="inlineStr">
        <is>
          <t>datasheet / listing</t>
        </is>
      </c>
      <c r="D15" s="2" t="inlineStr">
        <is>
          <t>https://datasheet.lcsc.com/lcsc/2012301032_XINGLIGHT-XL-0201UWC_C965789.pdf</t>
        </is>
      </c>
    </row>
    <row r="16">
      <c r="A16" s="2" t="inlineStr">
        <is>
          <t>LEDs</t>
        </is>
      </c>
      <c r="B16" s="2" t="inlineStr">
        <is>
          <t>C29</t>
        </is>
      </c>
      <c r="C16" s="2" t="inlineStr">
        <is>
          <t>datasheet / listing</t>
        </is>
      </c>
      <c r="D16" s="2" t="inlineStr">
        <is>
          <t>https://jlcpcb.com/partdetail/C20613596</t>
        </is>
      </c>
    </row>
    <row r="17">
      <c r="A17" s="2" t="inlineStr">
        <is>
          <t>LEDs</t>
        </is>
      </c>
      <c r="B17" s="2" t="inlineStr">
        <is>
          <t>D29</t>
        </is>
      </c>
      <c r="C17" s="2" t="inlineStr">
        <is>
          <t>datasheet / listing</t>
        </is>
      </c>
      <c r="D17" s="2" t="inlineStr">
        <is>
          <t>https://jlcpcb.com/partdetail/C2290</t>
        </is>
      </c>
    </row>
    <row r="18">
      <c r="A18" s="2" t="inlineStr">
        <is>
          <t>LEDs</t>
        </is>
      </c>
      <c r="B18" s="2" t="inlineStr">
        <is>
          <t>E29</t>
        </is>
      </c>
      <c r="C18" s="2" t="inlineStr">
        <is>
          <t>datasheet / listing</t>
        </is>
      </c>
      <c r="D18" s="2" t="inlineStr">
        <is>
          <t>https://s3-us-west-2.amazonaws.com/catsy.557/C18367A.pdf</t>
        </is>
      </c>
    </row>
    <row r="19">
      <c r="A19" s="2" t="inlineStr">
        <is>
          <t>LEDs</t>
        </is>
      </c>
      <c r="B19" s="2" t="inlineStr">
        <is>
          <t>F29</t>
        </is>
      </c>
      <c r="C19" s="2" t="inlineStr">
        <is>
          <t>datasheet / listing</t>
        </is>
      </c>
      <c r="D19" s="2" t="inlineStr">
        <is>
          <t>https://jlcpcb.com/partdetail/C34499</t>
        </is>
      </c>
    </row>
    <row r="20">
      <c r="A20" s="2" t="inlineStr">
        <is>
          <t>LEDs</t>
        </is>
      </c>
      <c r="B20" s="2" t="inlineStr">
        <is>
          <t>G29</t>
        </is>
      </c>
      <c r="C20" s="2" t="inlineStr">
        <is>
          <t>datasheet / listing</t>
        </is>
      </c>
      <c r="D20" s="2" t="inlineStr">
        <is>
          <t>https://optoelectronics.liteon.com/upload/download/DS22-2004-078/LTW-170TK.pdf</t>
        </is>
      </c>
    </row>
    <row r="21">
      <c r="A21" s="2" t="inlineStr">
        <is>
          <t>LEDs</t>
        </is>
      </c>
      <c r="B21" s="2" t="inlineStr">
        <is>
          <t>H29</t>
        </is>
      </c>
      <c r="C21" s="2" t="inlineStr">
        <is>
          <t>datasheet / listing</t>
        </is>
      </c>
      <c r="D21" s="2" t="inlineStr">
        <is>
          <t>https://www.digikey.com/en/products/detail/harvatek-corporation/B39D3RGB-F6C0001HOU1930/13588747</t>
        </is>
      </c>
    </row>
    <row r="22">
      <c r="A22" s="2" t="inlineStr">
        <is>
          <t>LEDs</t>
        </is>
      </c>
      <c r="B22" s="2" t="inlineStr">
        <is>
          <t>I29</t>
        </is>
      </c>
      <c r="C22" s="2" t="inlineStr">
        <is>
          <t>datasheet / listing</t>
        </is>
      </c>
      <c r="D22" s="2" t="inlineStr">
        <is>
          <t>https://datasheet.lcsc.com/datasheet/pdf/1674e4a9e1dec82609abb7eb7f417a05.pdf?productCode=C404279</t>
        </is>
      </c>
    </row>
    <row r="23">
      <c r="A23" s="2" t="inlineStr">
        <is>
          <t>Sensors</t>
        </is>
      </c>
      <c r="B23" s="2" t="inlineStr">
        <is>
          <t>B21</t>
        </is>
      </c>
      <c r="C23" s="2" t="inlineStr">
        <is>
          <t>link</t>
        </is>
      </c>
      <c r="D23" s="2" t="inlineStr">
        <is>
          <t>https://www.digikey.com/en/products/detail/bosch-sensortec/BMI270/9974486</t>
        </is>
      </c>
    </row>
    <row r="24">
      <c r="A24" s="2" t="inlineStr">
        <is>
          <t>Sensors</t>
        </is>
      </c>
      <c r="B24" s="2" t="inlineStr">
        <is>
          <t>C21</t>
        </is>
      </c>
      <c r="C24" s="2" t="inlineStr">
        <is>
          <t>link</t>
        </is>
      </c>
      <c r="D24" s="2" t="inlineStr">
        <is>
          <t>https://www.digikey.com/en/products/detail/bosch-sensortec/BMA400/8634935</t>
        </is>
      </c>
    </row>
    <row r="25">
      <c r="A25" s="2" t="inlineStr">
        <is>
          <t>Sensors</t>
        </is>
      </c>
      <c r="B25" s="2" t="inlineStr">
        <is>
          <t>D21</t>
        </is>
      </c>
      <c r="C25" s="2" t="inlineStr">
        <is>
          <t>link</t>
        </is>
      </c>
      <c r="D25" s="2" t="inlineStr">
        <is>
          <t>https://www.digikey.com/en/products/detail/stmicroelectronics/LIS2DW12TR/7914708</t>
        </is>
      </c>
    </row>
    <row r="26">
      <c r="A26" s="2" t="inlineStr">
        <is>
          <t>Sensors</t>
        </is>
      </c>
      <c r="B26" s="2" t="inlineStr">
        <is>
          <t>B26</t>
        </is>
      </c>
      <c r="C26" s="2" t="inlineStr">
        <is>
          <t>link</t>
        </is>
      </c>
      <c r="D26" s="2" t="inlineStr">
        <is>
          <t>https://jlcpcb.com/partdetail/C2836813</t>
        </is>
      </c>
    </row>
    <row r="27">
      <c r="A27" s="2" t="inlineStr">
        <is>
          <t>Sensors</t>
        </is>
      </c>
      <c r="B27" s="2" t="inlineStr">
        <is>
          <t>D26</t>
        </is>
      </c>
      <c r="C27" s="2" t="inlineStr">
        <is>
          <t>link</t>
        </is>
      </c>
      <c r="D27" s="2" t="inlineStr">
        <is>
          <t>https://jlcpcb.com/partdetail/C189624</t>
        </is>
      </c>
    </row>
    <row r="28">
      <c r="A28" s="2" t="inlineStr">
        <is>
          <t>Sensors</t>
        </is>
      </c>
      <c r="B28" s="2" t="inlineStr">
        <is>
          <t>B27</t>
        </is>
      </c>
      <c r="C28" s="2" t="inlineStr">
        <is>
          <t>link</t>
        </is>
      </c>
      <c r="D28" s="2" t="inlineStr">
        <is>
          <t>https://www.bosch-sensortec.com/media/boschsensortec/downloads/datasheets/bst-bmi270-ds000.pdf</t>
        </is>
      </c>
    </row>
    <row r="29">
      <c r="A29" s="2" t="inlineStr">
        <is>
          <t>Sensors</t>
        </is>
      </c>
      <c r="B29" s="2" t="inlineStr">
        <is>
          <t>C27</t>
        </is>
      </c>
      <c r="C29" s="2" t="inlineStr">
        <is>
          <t>link</t>
        </is>
      </c>
      <c r="D29" s="2" t="inlineStr">
        <is>
          <t>https://www.bosch-sensortec.com/media/boschsensortec/downloads/datasheets/bst-bma400-ds000.pdf</t>
        </is>
      </c>
    </row>
    <row r="30">
      <c r="A30" s="2" t="inlineStr">
        <is>
          <t>Sensors</t>
        </is>
      </c>
      <c r="B30" s="2" t="inlineStr">
        <is>
          <t>D27</t>
        </is>
      </c>
      <c r="C30" s="2" t="inlineStr">
        <is>
          <t>link</t>
        </is>
      </c>
      <c r="D30" s="2" t="inlineStr">
        <is>
          <t>https://www.digikey.com/en/products/detail/stmicroelectronics/LIS2DW12TR/7914708</t>
        </is>
      </c>
    </row>
    <row r="31">
      <c r="A31" s="2" t="inlineStr">
        <is>
          <t>Batteries</t>
        </is>
      </c>
      <c r="B31" s="2" t="inlineStr">
        <is>
          <t>B25</t>
        </is>
      </c>
      <c r="C31" s="2" t="inlineStr">
        <is>
          <t>Mouser page</t>
        </is>
      </c>
      <c r="D31" s="2" t="inlineStr">
        <is>
          <t>https://www.mouser.com/ProductDetail/614-ICP341018PM</t>
        </is>
      </c>
    </row>
    <row r="32">
      <c r="A32" s="2" t="inlineStr">
        <is>
          <t>Batteries</t>
        </is>
      </c>
      <c r="B32" s="2" t="inlineStr">
        <is>
          <t>C25</t>
        </is>
      </c>
      <c r="C32" s="2" t="inlineStr">
        <is>
          <t>Mouser page</t>
        </is>
      </c>
      <c r="D32" s="2" t="inlineStr">
        <is>
          <t>https://www.mouser.com/ProductDetail/614-ICP331319PM</t>
        </is>
      </c>
    </row>
    <row r="33">
      <c r="A33" s="2" t="inlineStr">
        <is>
          <t>Batteries</t>
        </is>
      </c>
      <c r="B33" s="2" t="inlineStr">
        <is>
          <t>D25</t>
        </is>
      </c>
      <c r="C33" s="2" t="inlineStr">
        <is>
          <t>Mouser page</t>
        </is>
      </c>
      <c r="D33" s="2" t="inlineStr">
        <is>
          <t>https://www.mouser.com/ProductDetail/614-ICP501022UPM</t>
        </is>
      </c>
    </row>
    <row r="34">
      <c r="A34" s="2" t="inlineStr">
        <is>
          <t>Batteries</t>
        </is>
      </c>
      <c r="B34" s="2" t="inlineStr">
        <is>
          <t>E25</t>
        </is>
      </c>
      <c r="C34" s="2" t="inlineStr">
        <is>
          <t>Mouser page</t>
        </is>
      </c>
      <c r="D34" s="2" t="inlineStr">
        <is>
          <t>https://www.mouser.com/ProductDetail/614-ICP402025PC-01</t>
        </is>
      </c>
    </row>
    <row r="35">
      <c r="A35" s="2" t="inlineStr">
        <is>
          <t>Batteries</t>
        </is>
      </c>
      <c r="B35" s="2" t="inlineStr">
        <is>
          <t>B26</t>
        </is>
      </c>
      <c r="C35" s="2" t="inlineStr">
        <is>
          <t>datasheet</t>
        </is>
      </c>
      <c r="D35" s="2" t="inlineStr">
        <is>
          <t>https://asset.conrad.com/media10/add/160267/c1/-/en/001214022DS01/podatkovna-tablica-1214022-renata-icp341018pm-specijalni-akumulatori-prizmaticni-kabel-lipo-37-v-35-mah.pdf</t>
        </is>
      </c>
    </row>
    <row r="36">
      <c r="A36" s="2" t="inlineStr">
        <is>
          <t>Batteries</t>
        </is>
      </c>
      <c r="B36" s="2" t="inlineStr">
        <is>
          <t>C26</t>
        </is>
      </c>
      <c r="C36" s="2" t="inlineStr">
        <is>
          <t>datasheet</t>
        </is>
      </c>
      <c r="D36" s="2" t="inlineStr">
        <is>
          <t>https://asset.conrad.com/media10/add/160267/c1/-/gl/003015326DS00/tehnicni-podatki-3015326-renata-icp331319pm-specialni-akumulatorji-prismaticno-kabel-lipo-37-v-50-mah.pdf</t>
        </is>
      </c>
    </row>
    <row r="37">
      <c r="A37" s="2" t="inlineStr">
        <is>
          <t>Batteries</t>
        </is>
      </c>
      <c r="B37" s="2" t="inlineStr">
        <is>
          <t>D26</t>
        </is>
      </c>
      <c r="C37" s="2" t="inlineStr">
        <is>
          <t>datasheet</t>
        </is>
      </c>
      <c r="D37" s="2" t="inlineStr">
        <is>
          <t>https://www.renata.com/fileadmin/downloads/productsheets/lithium_polymer/ICP501022UPM.pdf</t>
        </is>
      </c>
    </row>
    <row r="38">
      <c r="A38" s="2" t="inlineStr">
        <is>
          <t>Batteries</t>
        </is>
      </c>
      <c r="B38" s="2" t="inlineStr">
        <is>
          <t>E26</t>
        </is>
      </c>
      <c r="C38" s="2" t="inlineStr">
        <is>
          <t>datasheet</t>
        </is>
      </c>
      <c r="D38" s="2" t="inlineStr">
        <is>
          <t>https://www.renata.com/fileadmin/downloads/productsheets/lithium_polymer/ICP402025PC-01.pdf</t>
        </is>
      </c>
    </row>
    <row r="39">
      <c r="A39" s="2" t="inlineStr">
        <is>
          <t>Solar</t>
        </is>
      </c>
      <c r="B39" s="2" t="inlineStr">
        <is>
          <t>L22</t>
        </is>
      </c>
      <c r="C39" s="2" t="inlineStr">
        <is>
          <t>DigiKey (DISCONTINUED there, 640 left)</t>
        </is>
      </c>
      <c r="D39" s="2" t="inlineStr">
        <is>
          <t>https://www.digikey.com/en/products/detail/panasonic-energy/AM-1606C/25903138</t>
        </is>
      </c>
    </row>
    <row r="40">
      <c r="A40" s="2" t="inlineStr">
        <is>
          <t>Solar</t>
        </is>
      </c>
      <c r="B40" s="2" t="inlineStr">
        <is>
          <t>L23</t>
        </is>
      </c>
      <c r="C40" s="2" t="inlineStr">
        <is>
          <t>Anysolar datasheet (no live stock found)</t>
        </is>
      </c>
      <c r="D40" s="2" t="inlineStr">
        <is>
          <t>https://anysolar.biz/wp-content/uploads/2026/09/KXOB25-07X1TF-DATASHEET.pdf</t>
        </is>
      </c>
    </row>
    <row r="41">
      <c r="A41" s="2" t="inlineStr">
        <is>
          <t>Solar</t>
        </is>
      </c>
      <c r="B41" s="2" t="inlineStr">
        <is>
          <t>L24</t>
        </is>
      </c>
      <c r="C41" s="2" t="inlineStr">
        <is>
          <t>DigiKey ($6.59, 2,754 on 10/06)</t>
        </is>
      </c>
      <c r="D41" s="2" t="inlineStr">
        <is>
          <t>https://www.digikey.com/en/products/detail/anysolar-ltd/KXOB081K06TF-TR/13999165</t>
        </is>
      </c>
    </row>
    <row r="42">
      <c r="A42" s="2" t="inlineStr">
        <is>
          <t>Parts</t>
        </is>
      </c>
      <c r="B42" s="2" t="inlineStr">
        <is>
          <t>K8</t>
        </is>
      </c>
      <c r="C42" s="2" t="inlineStr">
        <is>
          <t>DigiKey</t>
        </is>
      </c>
      <c r="D42" s="2" t="inlineStr">
        <is>
          <t>https://www.digikey.com/en/products/detail/microchip-technology/AVR128DB48-I-PT/12807288</t>
        </is>
      </c>
    </row>
    <row r="43">
      <c r="A43" s="2" t="inlineStr">
        <is>
          <t>Parts</t>
        </is>
      </c>
      <c r="B43" s="2" t="inlineStr">
        <is>
          <t>M8</t>
        </is>
      </c>
      <c r="C43" s="2" t="inlineStr">
        <is>
          <t>JLCPCB</t>
        </is>
      </c>
      <c r="D43" s="2" t="inlineStr">
        <is>
          <t>https://jlcpcb.com/partdetail/C1019766</t>
        </is>
      </c>
    </row>
    <row r="44">
      <c r="A44" s="2" t="inlineStr">
        <is>
          <t>Parts</t>
        </is>
      </c>
      <c r="B44" s="2" t="inlineStr">
        <is>
          <t>K9</t>
        </is>
      </c>
      <c r="C44" s="2" t="inlineStr">
        <is>
          <t>DigiKey</t>
        </is>
      </c>
      <c r="D44" s="2" t="inlineStr">
        <is>
          <t>https://www.digikey.com/en/products/detail/bosch-sensortec/BMI270/9974486</t>
        </is>
      </c>
    </row>
    <row r="45">
      <c r="A45" s="2" t="inlineStr">
        <is>
          <t>Parts</t>
        </is>
      </c>
      <c r="B45" s="2" t="inlineStr">
        <is>
          <t>M9</t>
        </is>
      </c>
      <c r="C45" s="2" t="inlineStr">
        <is>
          <t>JLCPCB</t>
        </is>
      </c>
      <c r="D45" s="2" t="inlineStr">
        <is>
          <t>https://jlcpcb.com/partdetail/C2836813</t>
        </is>
      </c>
    </row>
    <row r="46">
      <c r="A46" s="2" t="inlineStr">
        <is>
          <t>Parts</t>
        </is>
      </c>
      <c r="B46" s="2" t="inlineStr">
        <is>
          <t>K10</t>
        </is>
      </c>
      <c r="C46" s="2" t="inlineStr">
        <is>
          <t>DigiKey</t>
        </is>
      </c>
      <c r="D46" s="2" t="inlineStr">
        <is>
          <t>https://www.digikey.com/en/products/detail/bosch-sensortec/BMA400/8634935</t>
        </is>
      </c>
    </row>
    <row r="47">
      <c r="A47" s="2" t="inlineStr">
        <is>
          <t>Parts</t>
        </is>
      </c>
      <c r="B47" s="2" t="inlineStr">
        <is>
          <t>K11</t>
        </is>
      </c>
      <c r="C47" s="2" t="inlineStr">
        <is>
          <t>DigiKey</t>
        </is>
      </c>
      <c r="D47" s="2" t="inlineStr">
        <is>
          <t>https://www.digikey.com/en/products/detail/stmicroelectronics/LIS2DW12TR/7914708</t>
        </is>
      </c>
    </row>
    <row r="48">
      <c r="A48" s="2" t="inlineStr">
        <is>
          <t>Parts</t>
        </is>
      </c>
      <c r="B48" s="2" t="inlineStr">
        <is>
          <t>M11</t>
        </is>
      </c>
      <c r="C48" s="2" t="inlineStr">
        <is>
          <t>JLCPCB</t>
        </is>
      </c>
      <c r="D48" s="2" t="inlineStr">
        <is>
          <t>https://jlcpcb.com/partdetail/C189624</t>
        </is>
      </c>
    </row>
    <row r="49">
      <c r="A49" s="2" t="inlineStr">
        <is>
          <t>Parts</t>
        </is>
      </c>
      <c r="B49" s="2" t="inlineStr">
        <is>
          <t>K12</t>
        </is>
      </c>
      <c r="C49" s="2" t="inlineStr">
        <is>
          <t>DigiKey</t>
        </is>
      </c>
      <c r="D49" s="2" t="inlineStr">
        <is>
          <t>https://www.digikey.com/en/products/detail/microchip-technology/MCP73831T-2ACI-OT/964301</t>
        </is>
      </c>
    </row>
    <row r="50">
      <c r="A50" s="2" t="inlineStr">
        <is>
          <t>Parts</t>
        </is>
      </c>
      <c r="B50" s="2" t="inlineStr">
        <is>
          <t>M12</t>
        </is>
      </c>
      <c r="C50" s="2" t="inlineStr">
        <is>
          <t>JLCPCB</t>
        </is>
      </c>
      <c r="D50" s="2" t="inlineStr">
        <is>
          <t>https://jlcpcb.com/partdetail/C424093</t>
        </is>
      </c>
    </row>
    <row r="51">
      <c r="A51" s="2" t="inlineStr">
        <is>
          <t>Parts</t>
        </is>
      </c>
      <c r="B51" s="2" t="inlineStr">
        <is>
          <t>K13</t>
        </is>
      </c>
      <c r="C51" s="2" t="inlineStr">
        <is>
          <t>DigiKey</t>
        </is>
      </c>
      <c r="D51" s="2" t="inlineStr">
        <is>
          <t>https://www.digikey.com/en/products/detail/microchip-technology/MCP1700T-3302E-TT/652676</t>
        </is>
      </c>
    </row>
    <row r="52">
      <c r="A52" s="2" t="inlineStr">
        <is>
          <t>Parts</t>
        </is>
      </c>
      <c r="B52" s="2" t="inlineStr">
        <is>
          <t>M13</t>
        </is>
      </c>
      <c r="C52" s="2" t="inlineStr">
        <is>
          <t>JLCPCB</t>
        </is>
      </c>
      <c r="D52" s="2" t="inlineStr">
        <is>
          <t>https://www.lcsc.com/product-image/C39051.html</t>
        </is>
      </c>
    </row>
    <row r="53">
      <c r="A53" s="2" t="inlineStr">
        <is>
          <t>Parts</t>
        </is>
      </c>
      <c r="B53" s="2" t="inlineStr">
        <is>
          <t>K14</t>
        </is>
      </c>
      <c r="C53" s="2" t="inlineStr">
        <is>
          <t>DigiKey</t>
        </is>
      </c>
      <c r="D53" s="2" t="inlineStr">
        <is>
          <t>https://www.digikey.com/en/products/detail/texas-instruments/BQ25570RGRR/4384228</t>
        </is>
      </c>
    </row>
    <row r="54">
      <c r="A54" s="2" t="inlineStr">
        <is>
          <t>Parts</t>
        </is>
      </c>
      <c r="B54" s="2" t="inlineStr">
        <is>
          <t>M14</t>
        </is>
      </c>
      <c r="C54" s="2" t="inlineStr">
        <is>
          <t>JLCPCB</t>
        </is>
      </c>
      <c r="D54" s="2" t="inlineStr">
        <is>
          <t>https://jlcpcb.com/partdetail/C506250</t>
        </is>
      </c>
    </row>
    <row r="55">
      <c r="A55" s="2" t="inlineStr">
        <is>
          <t>Parts</t>
        </is>
      </c>
      <c r="B55" s="2" t="inlineStr">
        <is>
          <t>K15</t>
        </is>
      </c>
      <c r="C55" s="2" t="inlineStr">
        <is>
          <t>DigiKey</t>
        </is>
      </c>
      <c r="D55" s="2" t="inlineStr">
        <is>
          <t>https://www.digikey.com/en/products/detail/abracon-llc/ABS07-32-768KHZ-T/1236858</t>
        </is>
      </c>
    </row>
    <row r="56">
      <c r="A56" s="2" t="inlineStr">
        <is>
          <t>Parts</t>
        </is>
      </c>
      <c r="B56" s="2" t="inlineStr">
        <is>
          <t>M15</t>
        </is>
      </c>
      <c r="C56" s="2" t="inlineStr">
        <is>
          <t>JLCPCB</t>
        </is>
      </c>
      <c r="D56" s="2" t="inlineStr">
        <is>
          <t>https://jlcpcb.com/partdetail/C130253</t>
        </is>
      </c>
    </row>
    <row r="57">
      <c r="A57" s="2" t="inlineStr">
        <is>
          <t>Parts</t>
        </is>
      </c>
      <c r="B57" s="2" t="inlineStr">
        <is>
          <t>K16</t>
        </is>
      </c>
      <c r="C57" s="2" t="inlineStr">
        <is>
          <t>DigiKey</t>
        </is>
      </c>
      <c r="D57" s="2" t="inlineStr">
        <is>
          <t>https://www.digikey.com/en/products/detail/jst-sales-america-inc/SM02B-SRSS-TB/926708</t>
        </is>
      </c>
    </row>
    <row r="58">
      <c r="A58" s="2" t="inlineStr">
        <is>
          <t>Parts</t>
        </is>
      </c>
      <c r="B58" s="2" t="inlineStr">
        <is>
          <t>M16</t>
        </is>
      </c>
      <c r="C58" s="2" t="inlineStr">
        <is>
          <t>JLCPCB</t>
        </is>
      </c>
      <c r="D58" s="2" t="inlineStr">
        <is>
          <t>https://jlcpcb.com/partdetail/C160402</t>
        </is>
      </c>
    </row>
    <row r="59">
      <c r="A59" s="2" t="inlineStr">
        <is>
          <t>Parts</t>
        </is>
      </c>
      <c r="B59" s="2" t="inlineStr">
        <is>
          <t>K17</t>
        </is>
      </c>
      <c r="C59" s="2" t="inlineStr">
        <is>
          <t>DigiKey</t>
        </is>
      </c>
      <c r="D59" s="2" t="inlineStr">
        <is>
          <t>https://www.digikey.com/en/products/detail/same-sky-formerly-cui-devices/TS21-34-035-BK-260-SMT-TR/21186457</t>
        </is>
      </c>
    </row>
    <row r="60">
      <c r="A60" s="2" t="inlineStr">
        <is>
          <t>Parts</t>
        </is>
      </c>
      <c r="B60" s="2" t="inlineStr">
        <is>
          <t>K19</t>
        </is>
      </c>
      <c r="C60" s="2" t="inlineStr">
        <is>
          <t>see Solar tab for each cell</t>
        </is>
      </c>
      <c r="D60" s="2" t="inlineStr">
        <is>
          <t>https://www.digikey.com/en/products/detail/anysolar-ltd/KXOB081K06TF-TR/13999165</t>
        </is>
      </c>
    </row>
    <row r="61">
      <c r="A61" s="2" t="inlineStr">
        <is>
          <t>Parts</t>
        </is>
      </c>
      <c r="B61" s="2" t="inlineStr">
        <is>
          <t>K20</t>
        </is>
      </c>
      <c r="C61" s="2" t="inlineStr">
        <is>
          <t>Renata ICP at Mouser</t>
        </is>
      </c>
      <c r="D61" s="2" t="inlineStr">
        <is>
          <t>https://www.mouser.com/new/renata/renata-icp-series/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2026-10-09T09:43:18Z</dcterms:created>
  <dcterms:modified xsi:type="dcterms:W3CDTF">2026-10-09T09:43:19Z</dcterms:modified>
</cp:coreProperties>
</file>